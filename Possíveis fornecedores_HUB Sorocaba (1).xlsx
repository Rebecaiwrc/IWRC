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wrcworld-my.sharepoint.com/personal/mm_theiwrc_com/Documents/HMS/Inclusive Waste Recycling Consortium/iWrc Brasil/Working Folder/Marketplace/HUB Sorocaba/"/>
    </mc:Choice>
  </mc:AlternateContent>
  <xr:revisionPtr revIDLastSave="0" documentId="8_{C25AF25F-FDE1-49AC-9EBC-568FC9B649BE}" xr6:coauthVersionLast="47" xr6:coauthVersionMax="47" xr10:uidLastSave="{00000000-0000-0000-0000-000000000000}"/>
  <bookViews>
    <workbookView xWindow="-110" yWindow="-110" windowWidth="19420" windowHeight="10300" firstSheet="1" activeTab="2" xr2:uid="{15508903-CE83-2248-890A-49EE4614CBB7}"/>
  </bookViews>
  <sheets>
    <sheet name="Possíveis Fornec" sheetId="1" state="hidden" r:id="rId1"/>
    <sheet name="Prospecção de Geradores" sheetId="4" r:id="rId2"/>
    <sheet name="Gabs" sheetId="5" r:id="rId3"/>
    <sheet name="Mackenzie Detalhamentos" sheetId="8" r:id="rId4"/>
    <sheet name="CONSEG - Zeka" sheetId="7" r:id="rId5"/>
    <sheet name="Parceiros" sheetId="2" r:id="rId6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TALITA FANTINI</author>
  </authors>
  <commentList>
    <comment ref="E3" authorId="0" shapeId="0" xr:uid="{F9E1B4FD-8162-9A47-ABF5-F150CA811AE4}">
      <text>
        <r>
          <rPr>
            <b/>
            <sz val="10"/>
            <color rgb="FF000000"/>
            <rFont val="Tahoma"/>
            <family val="2"/>
          </rPr>
          <t>TALITA FANTINI: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Algum reciclável que não é coletado pela empresa atual e que possa ser destinado a iWrc? Eletronicos? Filmes flexíveis?
</t>
        </r>
      </text>
    </comment>
  </commentList>
</comments>
</file>

<file path=xl/sharedStrings.xml><?xml version="1.0" encoding="utf-8"?>
<sst xmlns="http://schemas.openxmlformats.org/spreadsheetml/2006/main" count="1845" uniqueCount="783">
  <si>
    <t>Empresas para iWrc Hub - 250km de raio de Sorocaba</t>
  </si>
  <si>
    <t>#</t>
  </si>
  <si>
    <t>Empresa</t>
  </si>
  <si>
    <t>Endereço</t>
  </si>
  <si>
    <t>Telefone</t>
  </si>
  <si>
    <t>E-mail</t>
  </si>
  <si>
    <t>site</t>
  </si>
  <si>
    <t>comentários</t>
  </si>
  <si>
    <t>Materiais que geram</t>
  </si>
  <si>
    <t>Quantidade mensal</t>
  </si>
  <si>
    <t>Coletas semanais</t>
  </si>
  <si>
    <t>Fulwood Sorocaba Business Park</t>
  </si>
  <si>
    <t>Av. Jerome Case, 2600 - Cajuru do Sul, Sorocaba - SP, 18087-220</t>
  </si>
  <si>
    <t>(11) 96476-0517</t>
  </si>
  <si>
    <t>locacao@fulwood.com.br</t>
  </si>
  <si>
    <t>https://www.fulwood.com.br/</t>
  </si>
  <si>
    <t xml:space="preserve">Não consegui contato, e-mail enviado </t>
  </si>
  <si>
    <t>BRASLOG SOROCABA - Condomínio de Galpões Industriais</t>
  </si>
  <si>
    <t>Av. Antonio Bardella, 2650 - Boa Vista, Sorocaba - SP, 18085-852</t>
  </si>
  <si>
    <t>(15) 3228-2820</t>
  </si>
  <si>
    <t>braslog@braslogsorocaba.com.br</t>
  </si>
  <si>
    <t>http://braslogsorocaba.com.br/</t>
  </si>
  <si>
    <t>Não consegui contato, e-mail enviado</t>
  </si>
  <si>
    <t>Condomínio Modular Trade Center</t>
  </si>
  <si>
    <t>Av. Liberdade, 4565 - Galpão K - Iporanga, Sorocaba - SP, 18087-170</t>
  </si>
  <si>
    <t>(15) 3228-3548</t>
  </si>
  <si>
    <t>http://mtcenter.com.br/</t>
  </si>
  <si>
    <t xml:space="preserve">É apenas administradora. Cada empresa instalada no galpões é resposável pela própria destinação dos resíduos, não possui contato com os responsáveis de cada operação </t>
  </si>
  <si>
    <t>M5 Sorocaba</t>
  </si>
  <si>
    <t>Estr. dos Carvalhos, 1441 - Cajuru do Sul, Sorocaba - SP, 18105-122</t>
  </si>
  <si>
    <t>(15) 3225-0400</t>
  </si>
  <si>
    <t xml:space="preserve">Richard@m5centrologistico.com.br </t>
  </si>
  <si>
    <t>https://m5centrologistico.com.br/</t>
  </si>
  <si>
    <t>Tem uma empresa que já destina esses materias, pediu apresentação nossa. e-mail enviado</t>
  </si>
  <si>
    <t xml:space="preserve">Papelão, papel e plástico </t>
  </si>
  <si>
    <t>Uma caçamba de rua por semana (aprox- 1 á 2 t)</t>
  </si>
  <si>
    <t xml:space="preserve">Semanal </t>
  </si>
  <si>
    <t>BARRACÃO REVERSA COMERCIO DE PRODUTOS</t>
  </si>
  <si>
    <t>R. José João Alves, 31 - LINC - Parque empresarial das Mangueiras, Sorocaba - SP, 18086-432</t>
  </si>
  <si>
    <t>(15) 99696-6956</t>
  </si>
  <si>
    <t>https://barracaoreversa.com.br/</t>
  </si>
  <si>
    <t>Votorantim Park Industrial</t>
  </si>
  <si>
    <t>Av. Vitalino Pagliato, 50 - Capoavinha, Votorantim - SP, 18117-487</t>
  </si>
  <si>
    <t>(15) 99791-6406 - (Leonardo)</t>
  </si>
  <si>
    <t>http://mgtbolina.com.br/empreendimentos/park-industrial-votorantim</t>
  </si>
  <si>
    <t>Não tem uma empresa que destina, a empresa gera mais entulho do material reciclável.</t>
  </si>
  <si>
    <t xml:space="preserve">Não tem estimativa </t>
  </si>
  <si>
    <t xml:space="preserve">Não Possui </t>
  </si>
  <si>
    <t>O Caçador de Galpões</t>
  </si>
  <si>
    <t>Rod. Raposo Tavares, S/N, Sorocaba - SP, 18030-005</t>
  </si>
  <si>
    <t>(11) 98344-7886</t>
  </si>
  <si>
    <t>http://www.ocacadordegalpoes.com.br/</t>
  </si>
  <si>
    <t>Direct Express Logística Integrada</t>
  </si>
  <si>
    <t>Rua Yashica 519 - glp 4, Sorocaba - SP</t>
  </si>
  <si>
    <t>(15) 3227-2990</t>
  </si>
  <si>
    <t>Condomínio Empresarial Ômega</t>
  </si>
  <si>
    <t>R. Nathália Orejana, 671 - Zona Industrial, Sorocaba - SP, 18086-601</t>
  </si>
  <si>
    <t>https://webindustrial.com.br/condominio-industrial/condominio-industrial-omega-935</t>
  </si>
  <si>
    <t>Ligar novamente amanhã, o responsável fica até as 15</t>
  </si>
  <si>
    <t>Condomínio Industrial Aparecidinha</t>
  </si>
  <si>
    <t>Rua Joaquim Machado, 250 - Aparecidinha, Sorocaba - SP, 18087-280</t>
  </si>
  <si>
    <t>(15) 3225-2807</t>
  </si>
  <si>
    <t>Condominio Aurora Business Park 2</t>
  </si>
  <si>
    <t>bairro Varejão - Estr. Mun. de Aparecidinha, Itu - SP</t>
  </si>
  <si>
    <t>(15) 3235-4800</t>
  </si>
  <si>
    <t>atendimento@eapiaurora.com.br</t>
  </si>
  <si>
    <t>e-mail enviado</t>
  </si>
  <si>
    <t>METROPOLITANO EMPRESARIAL</t>
  </si>
  <si>
    <t>R. Moacyr de Castro, 100 - Éden, Sorocaba - SP, 18103-000</t>
  </si>
  <si>
    <t>(15) 99634-9079</t>
  </si>
  <si>
    <t>http://metropolitanoempresarial.com.br/</t>
  </si>
  <si>
    <t>Condominio Empresarial Panamericano</t>
  </si>
  <si>
    <t>(15) 3032-5500</t>
  </si>
  <si>
    <t>Contato@delrios.com.br</t>
  </si>
  <si>
    <t>Flex (Flextronics)</t>
  </si>
  <si>
    <t>Sorocaba</t>
  </si>
  <si>
    <t>(15) 4009-6647 - (15) 4009-6200</t>
  </si>
  <si>
    <t>CNH Industrial</t>
  </si>
  <si>
    <t>(15) 3334-1700</t>
  </si>
  <si>
    <t>Robert Bosch</t>
  </si>
  <si>
    <t>Campinas</t>
  </si>
  <si>
    <t>(19) 2103-4278</t>
  </si>
  <si>
    <t>Samsung Eletrônica</t>
  </si>
  <si>
    <t>Ambev</t>
  </si>
  <si>
    <t>Jaguariúna</t>
  </si>
  <si>
    <t>Tauste Supermercados</t>
  </si>
  <si>
    <t>(15) 3414-1880 - (15)996838677</t>
  </si>
  <si>
    <t>Enviado perguntas por wpp</t>
  </si>
  <si>
    <t>Rede Bom Lugar</t>
  </si>
  <si>
    <t>(15) 3223-5111</t>
  </si>
  <si>
    <t>redebomlugar@redebomlugar.com.br</t>
  </si>
  <si>
    <t>e-mail enviado. Empresa que faz a destinação do resíduo paga para a rede bom lugar</t>
  </si>
  <si>
    <t>Plastico e metal</t>
  </si>
  <si>
    <t>N.A</t>
  </si>
  <si>
    <t>Sim</t>
  </si>
  <si>
    <t>Mercado Livre</t>
  </si>
  <si>
    <t>Cajamar</t>
  </si>
  <si>
    <t>Amazon Brasil</t>
  </si>
  <si>
    <t>Taurus Helmets</t>
  </si>
  <si>
    <t>Itu</t>
  </si>
  <si>
    <t>Eduardo.nascimento@taurus.com.br</t>
  </si>
  <si>
    <t>O resposável pediu nossa apresentação. e-mail enviado</t>
  </si>
  <si>
    <t xml:space="preserve">Plastico e papelão </t>
  </si>
  <si>
    <t>Whirlpool</t>
  </si>
  <si>
    <t>Rio Claro</t>
  </si>
  <si>
    <t>(11) 4480-7100</t>
  </si>
  <si>
    <t>Eurofarma</t>
  </si>
  <si>
    <t>Itapevi</t>
  </si>
  <si>
    <t>Multicoisas</t>
  </si>
  <si>
    <t>Várias</t>
  </si>
  <si>
    <t>(15) 3032-0142</t>
  </si>
  <si>
    <t>Ferramentarias Éden</t>
  </si>
  <si>
    <t xml:space="preserve">Cintitec </t>
  </si>
  <si>
    <t>Osasco</t>
  </si>
  <si>
    <t xml:space="preserve">Brito - </t>
  </si>
  <si>
    <t>Fios e cabos / Logística reversa de maquininhas de pagamento</t>
  </si>
  <si>
    <t>Global Reverso</t>
  </si>
  <si>
    <t>Nacional</t>
  </si>
  <si>
    <t>Logística reversa de maquininhas de pagamento</t>
  </si>
  <si>
    <t>Reciclagem Brasil</t>
  </si>
  <si>
    <t>Cabreúva</t>
  </si>
  <si>
    <t>(11) 4529-3776/ (11) 96389-1753</t>
  </si>
  <si>
    <t xml:space="preserve">contato@reciclagembrasil.com.br </t>
  </si>
  <si>
    <t xml:space="preserve">Brasil Reverso </t>
  </si>
  <si>
    <t>Cabreúva e Jundiaí</t>
  </si>
  <si>
    <t>(19) 3476-4617</t>
  </si>
  <si>
    <t>comercial@brasilreverso.com.br</t>
  </si>
  <si>
    <t>Reversis</t>
  </si>
  <si>
    <t>(19) 2101-5100</t>
  </si>
  <si>
    <t>contato@reversis.com.br</t>
  </si>
  <si>
    <t>UNIP</t>
  </si>
  <si>
    <t>(15) 3412-1000</t>
  </si>
  <si>
    <t>jeniffer.filadelfo@unip.br</t>
  </si>
  <si>
    <t xml:space="preserve">A responsável falou que a coleta é feita pela multilixo, eles não cobram para realizar </t>
  </si>
  <si>
    <t>Papel, papelão,platicos, vidros</t>
  </si>
  <si>
    <t>UNISO</t>
  </si>
  <si>
    <t>(15) 2101-7000</t>
  </si>
  <si>
    <t>Vanderson.gimenez@uniso.br</t>
  </si>
  <si>
    <t xml:space="preserve">Responsável retorna dia 27.07 de ferías retorna á este dia.Enviar e-mail de apresentação </t>
  </si>
  <si>
    <t>PUC-SP</t>
  </si>
  <si>
    <t>UFSCAR</t>
  </si>
  <si>
    <t>(15) 3229-7546</t>
  </si>
  <si>
    <t>São Carlos</t>
  </si>
  <si>
    <t>(16) 3351-8111</t>
  </si>
  <si>
    <t>degr@ufcar.br</t>
  </si>
  <si>
    <t>Empresa está procurando outro parceiro para também realizarem as coletas. Enviar e-mail de apresentação.</t>
  </si>
  <si>
    <t>Papel, papelão,platicos, vidros e entre outros</t>
  </si>
  <si>
    <t xml:space="preserve">40 Tonelas </t>
  </si>
  <si>
    <t>UNESP</t>
  </si>
  <si>
    <t>(15) 3238-3409</t>
  </si>
  <si>
    <t>compras.campus@unesp.br</t>
  </si>
  <si>
    <t xml:space="preserve">Enviar e-mail de apresentação </t>
  </si>
  <si>
    <t>UNICAMP</t>
  </si>
  <si>
    <t>PUC-CAMPINAS</t>
  </si>
  <si>
    <t>(19) 3343-7000</t>
  </si>
  <si>
    <t>gps.asseio.op@puc-campinas.edu.br</t>
  </si>
  <si>
    <t>UNIMEP</t>
  </si>
  <si>
    <t>Piracicaba</t>
  </si>
  <si>
    <t>FMJ</t>
  </si>
  <si>
    <t>Jundiaí</t>
  </si>
  <si>
    <t>USP</t>
  </si>
  <si>
    <t>São Paulo</t>
  </si>
  <si>
    <t>UNIFESP</t>
  </si>
  <si>
    <t>UFABC</t>
  </si>
  <si>
    <t>Diadema</t>
  </si>
  <si>
    <t>(11) 3356-7000</t>
  </si>
  <si>
    <t>Santo André</t>
  </si>
  <si>
    <t>(11) 2320-6120</t>
  </si>
  <si>
    <t>FGV</t>
  </si>
  <si>
    <t>(11) 3799-7700</t>
  </si>
  <si>
    <t>INSPER</t>
  </si>
  <si>
    <t>(11) 4504-2400</t>
  </si>
  <si>
    <t>ESPM</t>
  </si>
  <si>
    <t>0800 607 3777</t>
  </si>
  <si>
    <t>PUC</t>
  </si>
  <si>
    <t>(11) 3670-8000</t>
  </si>
  <si>
    <t>Mackenzie</t>
  </si>
  <si>
    <t>(11) 2114-8000</t>
  </si>
  <si>
    <t>ITA</t>
  </si>
  <si>
    <t>São José dos Campos</t>
  </si>
  <si>
    <t>(12) 3947-5856</t>
  </si>
  <si>
    <t>(12) 3947-9000</t>
  </si>
  <si>
    <t>Guaratinguetá</t>
  </si>
  <si>
    <t>(12) 3123-2815</t>
  </si>
  <si>
    <t>UNITAU</t>
  </si>
  <si>
    <t>Taubaté</t>
  </si>
  <si>
    <t>(12) 3624-2888</t>
  </si>
  <si>
    <t>(16) 3373-9333</t>
  </si>
  <si>
    <t>Botucatu</t>
  </si>
  <si>
    <t>Bauru</t>
  </si>
  <si>
    <t>UNISANTOS</t>
  </si>
  <si>
    <t>Santos</t>
  </si>
  <si>
    <t>UNISANTA</t>
  </si>
  <si>
    <t>(13) 3202-7101</t>
  </si>
  <si>
    <t xml:space="preserve">cassio@unisanta.com.br   </t>
  </si>
  <si>
    <t xml:space="preserve">Mandar e-mail de apresentação </t>
  </si>
  <si>
    <t>Anglo</t>
  </si>
  <si>
    <t>(15) 3331-8080</t>
  </si>
  <si>
    <t>tiago@anglosoroca.com.br</t>
  </si>
  <si>
    <t>Instituto Mauá de Tecnologia</t>
  </si>
  <si>
    <t>São Caetano do Sul</t>
  </si>
  <si>
    <t>0800 019 3100</t>
  </si>
  <si>
    <t>GMRA</t>
  </si>
  <si>
    <t>(12) 3932-5100</t>
  </si>
  <si>
    <t>GM&amp;C faz a logística dos modens da Vivo</t>
  </si>
  <si>
    <t>Vivo/Telefônica</t>
  </si>
  <si>
    <t>CIESP Sorocaba</t>
  </si>
  <si>
    <t>(15) 4009-2900</t>
  </si>
  <si>
    <t>Renata.labarca@ciesp.com.br</t>
  </si>
  <si>
    <t>Responsável retorna dia 28.07 de ferías retorna á este dia.</t>
  </si>
  <si>
    <t>CIESP Campinas</t>
  </si>
  <si>
    <t>(19) 3743-2200</t>
  </si>
  <si>
    <t>Responsável retorna dia 22.07 de ferías retorna á este dia.</t>
  </si>
  <si>
    <t>CIESP Indaiatuba</t>
  </si>
  <si>
    <t>Indaiatuba</t>
  </si>
  <si>
    <t>(19) 3935-8981</t>
  </si>
  <si>
    <t>Adm.indaiatuba@ciesp.com.br</t>
  </si>
  <si>
    <t>Empresa gera mais resíduos em eventos. *Ainda não tem parceiros que coletam esse resíduo*</t>
  </si>
  <si>
    <t xml:space="preserve">Plastico, papel </t>
  </si>
  <si>
    <t>Gostaria</t>
  </si>
  <si>
    <t>CIESP Jundiaí</t>
  </si>
  <si>
    <t>(11) 4815-7941</t>
  </si>
  <si>
    <t>CIESP Cotia</t>
  </si>
  <si>
    <t>Cotia</t>
  </si>
  <si>
    <t>(11) 4612-9722</t>
  </si>
  <si>
    <t>CIESP Americana</t>
  </si>
  <si>
    <t>Americana</t>
  </si>
  <si>
    <t>(19) 3471-0400</t>
  </si>
  <si>
    <t>CIESP São Carlos</t>
  </si>
  <si>
    <t>(16) 3368-1037</t>
  </si>
  <si>
    <t xml:space="preserve">CONTATO.SÃOCARLOS@CIESP.COM.BR </t>
  </si>
  <si>
    <t>Solicitou retorno por e-mail</t>
  </si>
  <si>
    <t>ID</t>
  </si>
  <si>
    <t xml:space="preserve">Empresa </t>
  </si>
  <si>
    <t>Cidade/Bairro</t>
  </si>
  <si>
    <t>Telefone / WhatsApp</t>
  </si>
  <si>
    <t xml:space="preserve">Email </t>
  </si>
  <si>
    <t>Responsável iWrc</t>
  </si>
  <si>
    <t xml:space="preserve">Status / Etapa </t>
  </si>
  <si>
    <t xml:space="preserve">Materiais que Geram </t>
  </si>
  <si>
    <t>Quantidade / Volume</t>
  </si>
  <si>
    <t>Já possui parceiro?</t>
  </si>
  <si>
    <t>Compra ou doação</t>
  </si>
  <si>
    <t>contato@fulwood.com.br</t>
  </si>
  <si>
    <t>Rebeca</t>
  </si>
  <si>
    <t>Braslog Sorocaba - Condomínio de Galpões Industriais</t>
  </si>
  <si>
    <t>(15) 99628-1100</t>
  </si>
  <si>
    <t xml:space="preserve">Papelão e Plástico </t>
  </si>
  <si>
    <t>Entulho e papelão</t>
  </si>
  <si>
    <t xml:space="preserve">Não </t>
  </si>
  <si>
    <t>Tauste Itavuvu - (Sorocaba)</t>
  </si>
  <si>
    <t>Tauste Campolim - (Sorocaba)</t>
  </si>
  <si>
    <t>(15) 3333-3838</t>
  </si>
  <si>
    <t>Plastico e Metal.</t>
  </si>
  <si>
    <t>Papel, papelão e plástico</t>
  </si>
  <si>
    <t>degr@ufscar.br</t>
  </si>
  <si>
    <t>40 T</t>
  </si>
  <si>
    <t xml:space="preserve">gps.asseio.superv@puc-campinas.edu.br </t>
  </si>
  <si>
    <t>Aprox (1 t)</t>
  </si>
  <si>
    <t>contato.saocarlos@ciesp.com.br</t>
  </si>
  <si>
    <t xml:space="preserve">Sim </t>
  </si>
  <si>
    <t xml:space="preserve">Lord Brasil </t>
  </si>
  <si>
    <t>Av. Comendador Camilo Júlio, 2600 – Jardim Ibiti do Paço, Sorocaba/SP</t>
  </si>
  <si>
    <t>(15) 34140350</t>
  </si>
  <si>
    <t>andressa@diamondoffice.com.br</t>
  </si>
  <si>
    <t>Soroplast Indústria e Comércio de Artefatos Plásticos</t>
  </si>
  <si>
    <t>Rua Anuar Dequech, 425 – Iporanga, Sorocaba/SP</t>
  </si>
  <si>
    <t>(15) 3228-3675</t>
  </si>
  <si>
    <t>compras@soroplast.com.br</t>
  </si>
  <si>
    <t xml:space="preserve">Platisco e papelão </t>
  </si>
  <si>
    <t>Majesty América do Sul Embalagens</t>
  </si>
  <si>
    <t>Estrada Mário Monteiro de Carvalho, 1441, Sorocaba, São Paulo, 18105-122</t>
  </si>
  <si>
    <t>(15) 3141-0720</t>
  </si>
  <si>
    <t>Leonardo@majestyglobal.com</t>
  </si>
  <si>
    <t xml:space="preserve">Rebeca </t>
  </si>
  <si>
    <t>Parabor Indústria e Comércio de Produtos Químicos Ltda</t>
  </si>
  <si>
    <t>Rua Lucídio Monteiro de Carvalho, 373</t>
  </si>
  <si>
    <t xml:space="preserve">(15) 3225-1802 </t>
  </si>
  <si>
    <t>vendas@parabor.com.br</t>
  </si>
  <si>
    <t xml:space="preserve">Papelão </t>
  </si>
  <si>
    <t>Militão Vidros</t>
  </si>
  <si>
    <t>Rua Professor Raul Rodrigues Gomes, 325, Curitiba, Paraná, 81770-230</t>
  </si>
  <si>
    <t>(41) 3156-4994</t>
  </si>
  <si>
    <t xml:space="preserve">Alumínio </t>
  </si>
  <si>
    <t>Éden Park Hotel</t>
  </si>
  <si>
    <t>Rua João Mustafá, 341 - Éden</t>
  </si>
  <si>
    <t>Pet</t>
  </si>
  <si>
    <t xml:space="preserve">6 sacos, de 50 á 100 litros por dia </t>
  </si>
  <si>
    <t>Toyota do Brasil</t>
  </si>
  <si>
    <t>Rod. Castelo Branco, Km 92, Sorocaba/SP</t>
  </si>
  <si>
    <t>(15) 3235-8000</t>
  </si>
  <si>
    <t>contato@toyota.com.br</t>
  </si>
  <si>
    <t>ZF do Brasil</t>
  </si>
  <si>
    <t>Av. Independência, Sorocaba/SP</t>
  </si>
  <si>
    <t>(15) 2102-9000</t>
  </si>
  <si>
    <t>zfbrasil@zf.com, marta@mmeditorial.com.br</t>
  </si>
  <si>
    <t>Schaeffler Brasil</t>
  </si>
  <si>
    <t>Sorocaba/SP</t>
  </si>
  <si>
    <t>(15) 3335-1000</t>
  </si>
  <si>
    <t>marketing.br@schaeffler.com</t>
  </si>
  <si>
    <t>contato@cnhind.com</t>
  </si>
  <si>
    <t>Metso Brasil</t>
  </si>
  <si>
    <t>(15) 2102 1700</t>
  </si>
  <si>
    <t>brasil.info@metso.com</t>
  </si>
  <si>
    <t>Clarios</t>
  </si>
  <si>
    <t>(15) 2101-1000</t>
  </si>
  <si>
    <t>contato@clarios.com</t>
  </si>
  <si>
    <t>Tecsis</t>
  </si>
  <si>
    <t>(15) 3219-8000</t>
  </si>
  <si>
    <t>contato@tecsis.com.br</t>
  </si>
  <si>
    <t>GCP Applied Technologies</t>
  </si>
  <si>
    <t>(15) 2102-2000</t>
  </si>
  <si>
    <t>filipe.zarur@chemyunion.com</t>
  </si>
  <si>
    <t>Prysmian Group</t>
  </si>
  <si>
    <t>(15) 98179-8597</t>
  </si>
  <si>
    <t>brasil@prysmiangroup.com</t>
  </si>
  <si>
    <t>Nissin Foods</t>
  </si>
  <si>
    <t>Ibiúna/SP</t>
  </si>
  <si>
    <t>(15) 3248-9000</t>
  </si>
  <si>
    <t>contato@nissin.com.br</t>
  </si>
  <si>
    <t>Amcor Flexibles</t>
  </si>
  <si>
    <t>Louveira/SP</t>
  </si>
  <si>
    <t>(19) 3878-9000</t>
  </si>
  <si>
    <t>contato@amcor.com</t>
  </si>
  <si>
    <t>Unilever</t>
  </si>
  <si>
    <t>Indaiatuba/SP</t>
  </si>
  <si>
    <t>(19) 3801-9000</t>
  </si>
  <si>
    <t>sac@unilever.com</t>
  </si>
  <si>
    <t>John Deere</t>
  </si>
  <si>
    <t>(19) 3313-4000</t>
  </si>
  <si>
    <t>contato@johndeere.com</t>
  </si>
  <si>
    <t>Kion South America</t>
  </si>
  <si>
    <t>(19) 3935-8200</t>
  </si>
  <si>
    <t>marketing.br@kiongroup.com</t>
  </si>
  <si>
    <t>DHL Supply Chain</t>
  </si>
  <si>
    <t>contato@dhl.com</t>
  </si>
  <si>
    <t>Mercado Livre (Fulfillment)</t>
  </si>
  <si>
    <t>Cajamar/SP</t>
  </si>
  <si>
    <t>(11) 2543-8000</t>
  </si>
  <si>
    <t>contato@mercadolivre.com</t>
  </si>
  <si>
    <t>Amazon Brasil (Fulfillment)</t>
  </si>
  <si>
    <t>—</t>
  </si>
  <si>
    <t>contato@amazon.com.br</t>
  </si>
  <si>
    <t>Magazine Luiza CD</t>
  </si>
  <si>
    <t>(19) 3878-6000</t>
  </si>
  <si>
    <t>contato@magazineluiza.com.br</t>
  </si>
  <si>
    <t>CEVA Logistics</t>
  </si>
  <si>
    <t>Jundiaí/SP</t>
  </si>
  <si>
    <t>(11) 4589-8000</t>
  </si>
  <si>
    <t>contato@cevalogistics.com</t>
  </si>
  <si>
    <t>Crown Embalagens</t>
  </si>
  <si>
    <t>Cabreúva/SP</t>
  </si>
  <si>
    <t>(11) 4528-9000</t>
  </si>
  <si>
    <t>contato@crowncork.com</t>
  </si>
  <si>
    <t>Tetra Pak</t>
  </si>
  <si>
    <t>Monte Mor/SP</t>
  </si>
  <si>
    <t>(19) 3879-7000</t>
  </si>
  <si>
    <t>contato@tetrapak.com</t>
  </si>
  <si>
    <t>Brasilata</t>
  </si>
  <si>
    <t>contato@brasilata.com.br</t>
  </si>
  <si>
    <t>Klabin</t>
  </si>
  <si>
    <t>(11) 2134-4000</t>
  </si>
  <si>
    <t>klabin@klabin.com.br</t>
  </si>
  <si>
    <t>PepsiCo</t>
  </si>
  <si>
    <t>Itu/SP</t>
  </si>
  <si>
    <t>(11) 4022-9000</t>
  </si>
  <si>
    <t>atendimento@pepsico.com</t>
  </si>
  <si>
    <t>Ajinomoto</t>
  </si>
  <si>
    <t>Limeira/SP</t>
  </si>
  <si>
    <t>contato@ajinomoto.com.br                           leo_silva@dr.ajinomoto.com</t>
  </si>
  <si>
    <t>Ypê</t>
  </si>
  <si>
    <t>Amparo/SP</t>
  </si>
  <si>
    <t>(19) 3807-3000</t>
  </si>
  <si>
    <t>contato@ype.com.br</t>
  </si>
  <si>
    <t>Adimax</t>
  </si>
  <si>
    <t>Salto de Pirapora/SP</t>
  </si>
  <si>
    <t>(15) 3238-8000</t>
  </si>
  <si>
    <t>ronaldo.pereira@adimax.com</t>
  </si>
  <si>
    <t>Case IH</t>
  </si>
  <si>
    <t>Av. Jerome Case, Sorocaba/SP</t>
  </si>
  <si>
    <t>loja.caseih@cnhind.com</t>
  </si>
  <si>
    <t>Parker Hannifin</t>
  </si>
  <si>
    <t>(15) 3325-3942</t>
  </si>
  <si>
    <t>Bardella</t>
  </si>
  <si>
    <t>isantos@bardella.com.br</t>
  </si>
  <si>
    <t>Splice Indústria</t>
  </si>
  <si>
    <t>Votorantim/SP</t>
  </si>
  <si>
    <t>contato@splice.com.br</t>
  </si>
  <si>
    <t>Wobben (Enercon)</t>
  </si>
  <si>
    <t>(15) 2102-2200</t>
  </si>
  <si>
    <t>contato@enercon.de</t>
  </si>
  <si>
    <t>Hexis Científica</t>
  </si>
  <si>
    <t>(11) 4589-2600</t>
  </si>
  <si>
    <t>comercial@hexis.com.br</t>
  </si>
  <si>
    <t>Rexam (Ardagh)</t>
  </si>
  <si>
    <t>Jacareí/SP</t>
  </si>
  <si>
    <t>(12) 3954-9000</t>
  </si>
  <si>
    <t>Castelo Alimentos</t>
  </si>
  <si>
    <t>Boituva/SP</t>
  </si>
  <si>
    <t>(15) 3363-9500</t>
  </si>
  <si>
    <t>atendimento@casteloalimentos.com.br</t>
  </si>
  <si>
    <t>Marfrig</t>
  </si>
  <si>
    <t>Promissão/SP (escritório regional em SP)</t>
  </si>
  <si>
    <t>(14) 3543-9292</t>
  </si>
  <si>
    <t>paralegal.corporativo@marfrig.com.br</t>
  </si>
  <si>
    <t>JBS Couros</t>
  </si>
  <si>
    <t>Lins/SP (compras SP)</t>
  </si>
  <si>
    <t>(11) 3144-4000</t>
  </si>
  <si>
    <t>(corporativo)
imprensa@jbs.com.br</t>
  </si>
  <si>
    <t>Colégio Objetivo Sorocaba</t>
  </si>
  <si>
    <t>(15) 3332-9900</t>
  </si>
  <si>
    <t>Colégio Uirapuru</t>
  </si>
  <si>
    <t>(15) 2102-6600</t>
  </si>
  <si>
    <t>ouvidoria@colegiouirapuru.com.br</t>
  </si>
  <si>
    <t>Colégio Dom Aguirre</t>
  </si>
  <si>
    <t>WPP</t>
  </si>
  <si>
    <t>Papel, papelão, plastico e metais</t>
  </si>
  <si>
    <t>1 lixeira de 500 litros mês</t>
  </si>
  <si>
    <t>N/A</t>
  </si>
  <si>
    <t>SESI Sorocaba</t>
  </si>
  <si>
    <t>abatista@sesisp.org.br</t>
  </si>
  <si>
    <t>SENAI Sorocaba</t>
  </si>
  <si>
    <t>(15) 3212-7400</t>
  </si>
  <si>
    <t>rigoni@sp.senai.br</t>
  </si>
  <si>
    <t>Parque Tecnológico de Sorocaba</t>
  </si>
  <si>
    <t>(15) 3316-2323</t>
  </si>
  <si>
    <t xml:space="preserve">WPP </t>
  </si>
  <si>
    <t>Kostela do Japonês</t>
  </si>
  <si>
    <t>Av. Victor Andrew, 4455 – Éden, Sorocaba – SP</t>
  </si>
  <si>
    <t xml:space="preserve">(15) 3325-4255 </t>
  </si>
  <si>
    <t xml:space="preserve">Papelão e plastico </t>
  </si>
  <si>
    <t xml:space="preserve">Doação </t>
  </si>
  <si>
    <t>Restaurante Picanha na Villa</t>
  </si>
  <si>
    <t>R. Cleide Fonseca Mustafá, 30 – Jardim Paraíso, Sorocaba – SP</t>
  </si>
  <si>
    <t>(15) 99725-9162</t>
  </si>
  <si>
    <t>Mio Sapore Restaurante</t>
  </si>
  <si>
    <t>Av. Independência, 5271 – Iporanga, Sorocaba – SP</t>
  </si>
  <si>
    <t>(15) 99642-4527</t>
  </si>
  <si>
    <t>Pizzaria da Rita</t>
  </si>
  <si>
    <t>R. Bonifácio de Oliveira Cassú, 474 – Éden, Sorocaba – SP</t>
  </si>
  <si>
    <t>(15) 3225-1803</t>
  </si>
  <si>
    <t>Restaurante Vecchio Cancian</t>
  </si>
  <si>
    <t>Avenida Santos Dumont, 400 - Jardim Ana Maria Jd. Ana Maria, Sorocaba, Estado de São Paulo 18065-290 Brasil</t>
  </si>
  <si>
    <t>Restaurante Refazenda Sorocaba</t>
  </si>
  <si>
    <t>Rua 28 de outubro, 150 – Alto da Boa Vista – Sorocaba/SP</t>
  </si>
  <si>
    <t>Do Japonês</t>
  </si>
  <si>
    <t xml:space="preserve">R João Mustafá, 135, Sorocaba, São Paulo, 18103-015 </t>
  </si>
  <si>
    <t xml:space="preserve">Plastico, papelão e vidro </t>
  </si>
  <si>
    <t>Domo Restaurante</t>
  </si>
  <si>
    <t>R. Moacyr de Castro, 100 - Éden, Sorocaba - SP, 18071-121</t>
  </si>
  <si>
    <t>(15) 98162-2470</t>
  </si>
  <si>
    <t>Paladare Grill Restaurante</t>
  </si>
  <si>
    <t xml:space="preserve">Rua Miguel Arcangelo Matielo, 400, Sorocaba, São Paulo, 18103-555 </t>
  </si>
  <si>
    <t>(15) 99689-2449</t>
  </si>
  <si>
    <t>Café HP Restaurante</t>
  </si>
  <si>
    <t>Avenida Iporanga, 255, Sorocaba, São Paulo, 18086-602</t>
  </si>
  <si>
    <t>Gelar Comida Caseira</t>
  </si>
  <si>
    <t>Rua Pedro José de Camargo, 114, Jardim Morumbi, Sorocaba - SP, CEP 18085-600</t>
  </si>
  <si>
    <t>Roda d' Ferro Churrascaria e Pizzaria</t>
  </si>
  <si>
    <t>Av. Independência, 4615 - Éden, Sorocaba - SP, 18103-000</t>
  </si>
  <si>
    <t>(15) 3342-8884</t>
  </si>
  <si>
    <t>Restaurante da Lu</t>
  </si>
  <si>
    <t>R. André Vargas Rodrigues – Cajuru do Sul, Sorocaba/SP</t>
  </si>
  <si>
    <t>(15) 99859-1220</t>
  </si>
  <si>
    <t>Restaurante da Dorinha</t>
  </si>
  <si>
    <t>R. Maria Aparecida Novais Consorti, 389 – Cajuru do Sul, Sorocaba/SP</t>
  </si>
  <si>
    <t>(15) 99686-5985</t>
  </si>
  <si>
    <t>Papelão</t>
  </si>
  <si>
    <t>Feitosa Supermercados – Loja 1</t>
  </si>
  <si>
    <t>Av. Paraná, 3865 – Cajuru do Sul, Sorocaba/SP</t>
  </si>
  <si>
    <t>(15) 3225-2356</t>
  </si>
  <si>
    <t>Supermercado Feitosa 02</t>
  </si>
  <si>
    <t>Rua Juvenal de Paula Souza, 231 – Cajuru do Sul, Sorocaba/SP</t>
  </si>
  <si>
    <t>(15) 99695-4338</t>
  </si>
  <si>
    <t>Rede Bom Lugar – Loja Cajuru</t>
  </si>
  <si>
    <t>Av. Paraná, 3756 – Cajuru do Sul, Sorocaba/SP</t>
  </si>
  <si>
    <t>(15) 99630-1357</t>
  </si>
  <si>
    <t>San Marcos</t>
  </si>
  <si>
    <t>Rua Juvenal de Paula Souza, 1316 – Cajuru do Sul, Sorocaba/SP</t>
  </si>
  <si>
    <t>(15) 3342-2742</t>
  </si>
  <si>
    <t>Enviado WPP</t>
  </si>
  <si>
    <t>Rede Bom Lugar – Loja 09</t>
  </si>
  <si>
    <t>Rua Flôr do Carvalho, 525 – Éden, Sorocaba/SP</t>
  </si>
  <si>
    <t xml:space="preserve">(15) 99630-1357 </t>
  </si>
  <si>
    <t>Colégio Adventista de Sorocaba</t>
  </si>
  <si>
    <t>Jardim Guadalajara - Sorocaba</t>
  </si>
  <si>
    <t>Colégio Sorocaba</t>
  </si>
  <si>
    <t>Jardim Maria Eugênia</t>
  </si>
  <si>
    <t>(15) 3226-3025</t>
  </si>
  <si>
    <t>Retornar segunda ás 12:00</t>
  </si>
  <si>
    <t>Colégio Horizonte</t>
  </si>
  <si>
    <t>Vila Santa Terezinha - Sorocaba</t>
  </si>
  <si>
    <t>(15) 3222-4536</t>
  </si>
  <si>
    <t>Retornar segunda ás 9:00</t>
  </si>
  <si>
    <t>Colégio Renascer Sorocaba</t>
  </si>
  <si>
    <t>Central Parque - Sorocaba</t>
  </si>
  <si>
    <t>(15) 3229-4444</t>
  </si>
  <si>
    <t>julianabovo@colegiorenascer.com.br</t>
  </si>
  <si>
    <t>College International Talent</t>
  </si>
  <si>
    <t>Vila Lucy</t>
  </si>
  <si>
    <t>(15) 3221-8568</t>
  </si>
  <si>
    <t>The Lighthouse School</t>
  </si>
  <si>
    <t>Jardim Santa Rosália</t>
  </si>
  <si>
    <t>(15) 3233-2607</t>
  </si>
  <si>
    <t xml:space="preserve">suportepedagogico@ufarol.com.br </t>
  </si>
  <si>
    <t>Colégio Espaço Criança – Berçário e Educação Infantil</t>
  </si>
  <si>
    <t>Jardim Vergueiro</t>
  </si>
  <si>
    <t>(15) 99608-9164</t>
  </si>
  <si>
    <t>Colégio Pleno – Educação Infantil</t>
  </si>
  <si>
    <t>Vila Progresso</t>
  </si>
  <si>
    <t>Espaço de Eventos - Monteiro Lobato</t>
  </si>
  <si>
    <t>R. Antônio Aparecido Ferraz, 1111 - Parque Santa Isabel, Sorocaba/SP</t>
  </si>
  <si>
    <t>(15) 99601-7877</t>
  </si>
  <si>
    <t xml:space="preserve">A depender do evento </t>
  </si>
  <si>
    <t>GD Eventos</t>
  </si>
  <si>
    <t>R. Serafina Milego Latorre, 430 - Jardim Vera Cruz, Sorocaba/SP</t>
  </si>
  <si>
    <t>(15) 98835-6087</t>
  </si>
  <si>
    <t>Casa Magna Eventos</t>
  </si>
  <si>
    <t>Estr. Raphael Lobo de Moraes, 395 - Brigadeiro Tobias, Sorocaba/SP</t>
  </si>
  <si>
    <t>(15) 99131-4020</t>
  </si>
  <si>
    <t>Camacho Espaço para Eventos</t>
  </si>
  <si>
    <t>R. Antônio Monteiro Machado, 31 - Parque São Bento, Sorocaba/SP</t>
  </si>
  <si>
    <t>(15) 98140-7930</t>
  </si>
  <si>
    <t>Espaço Verde Encanto</t>
  </si>
  <si>
    <t>Estr. da Servidão, 237 - Ana Maria, Sorocaba/SP</t>
  </si>
  <si>
    <t>(15) 98152-5323</t>
  </si>
  <si>
    <t>Alhambra Eventos</t>
  </si>
  <si>
    <t>R. Augusto Lippel, 10405 - Parque Campolim, Sorocaba/SP</t>
  </si>
  <si>
    <t>(15) 97403-1474</t>
  </si>
  <si>
    <t>Garrafa de wisky</t>
  </si>
  <si>
    <t>Espaço Casa da Vó</t>
  </si>
  <si>
    <t>R. Mogi Mirim, 130 - Cidade Jardim, Sorocaba/SP</t>
  </si>
  <si>
    <t>(15) 99157-1664</t>
  </si>
  <si>
    <t>Espaço Festa e Lazer Novo Sol</t>
  </si>
  <si>
    <t>R. Esdras Gonçalves, 33 - Parque Vista Bárbara, Sorocaba/SP</t>
  </si>
  <si>
    <t>(15) 98806-4484</t>
  </si>
  <si>
    <t>Espaço Festa Summer</t>
  </si>
  <si>
    <t>R. Roberto Justi, 114 - Jardim Santa Catarina, Sorocaba/SP</t>
  </si>
  <si>
    <t>(15) 99722-6381</t>
  </si>
  <si>
    <t>Palace Club Sorocaba</t>
  </si>
  <si>
    <t>R. Campinas, 45 - Jardim Leocádia, Sorocaba/SP</t>
  </si>
  <si>
    <t>(15) 99144-1837</t>
  </si>
  <si>
    <t>Cervejaria Estação Beer</t>
  </si>
  <si>
    <t>Vila Fiori, Sorocaba/SP</t>
  </si>
  <si>
    <t>(15) 99132-1958</t>
  </si>
  <si>
    <t>Cervejaria Burgman</t>
  </si>
  <si>
    <t>Av. Eng. Carlos Reinaldo Mendes, 5025 - Jardim Pelegrino, Sorocaba/SP</t>
  </si>
  <si>
    <t>(15) 3218-1818</t>
  </si>
  <si>
    <t>Buffet Matsushima</t>
  </si>
  <si>
    <t>Rua Savério Fazzio, 134 - Jardim Magnólia, Sorocaba/SP</t>
  </si>
  <si>
    <t>(15) 98148-0022</t>
  </si>
  <si>
    <t>Buffet Guimarães</t>
  </si>
  <si>
    <t>R. Oswaldo Martins, 212 - Jardim Refúgio, Sorocaba/SP</t>
  </si>
  <si>
    <t>(15) 99755-7500</t>
  </si>
  <si>
    <t>Buffet Vó Landa</t>
  </si>
  <si>
    <t>R. Antônio de Oliveira, 117 - Vila Lucy, Sorocaba/SP</t>
  </si>
  <si>
    <t>(15) 98147-1780</t>
  </si>
  <si>
    <t>Eventos Damas e José</t>
  </si>
  <si>
    <t>R. Luís Paes de Almeida, 228 - Vila Raszl, Sorocaba/SP</t>
  </si>
  <si>
    <t>(15) 99850-1961</t>
  </si>
  <si>
    <t>Bar do Tio Oscar</t>
  </si>
  <si>
    <t>R. Antônio Máximo, 32 - Cajuru do Sul, Sorocaba/SP</t>
  </si>
  <si>
    <t>(15) 99192-0097</t>
  </si>
  <si>
    <t>RR Águias Bar</t>
  </si>
  <si>
    <t>R. Serra da Estrela, 01 - Cajuru do Sul, Sorocaba/SP</t>
  </si>
  <si>
    <t>(15) 99631-1014</t>
  </si>
  <si>
    <t>Road Shopping - Rodovia Castello Branco</t>
  </si>
  <si>
    <t>Rod. Pres. Castello Branco, Km 72 - City Castello, Itu - SP, 13308-700</t>
  </si>
  <si>
    <t>Catarina Fashion Outlet</t>
  </si>
  <si>
    <t>R. Rafael Dias Costa, 140 - São Roque, SP, 18147-000</t>
  </si>
  <si>
    <t>São Paulo Catarina Aeroporto Executivo Internacional</t>
  </si>
  <si>
    <t>Rod. Pres. Castello Branco, km 62 - São Roque, SP, 18132-900</t>
  </si>
  <si>
    <t>Embraer Executive Jets</t>
  </si>
  <si>
    <t>Carrefour Hipermercado</t>
  </si>
  <si>
    <t>Av. Brasil, 376 - Terra Vermelha, Sorocaba - SP, 18065-100</t>
  </si>
  <si>
    <t>Golden Park Sorocaba &amp; Convenções</t>
  </si>
  <si>
    <t>Rodovia Senador José Ermírio de Moraes, km 2,6 - Iporanga, Sorocaba - SP, 18087-125</t>
  </si>
  <si>
    <t>Cacau Park</t>
  </si>
  <si>
    <t>No Precinho - Loja 1</t>
  </si>
  <si>
    <t>R. Eugênio Leite da Cruz, 431 - Jardim Jatoba, Sorocaba - SP, 18103-431</t>
  </si>
  <si>
    <t>Prysmian - Cabos e Sistemas do Brasil SA</t>
  </si>
  <si>
    <t>Av. Pirelli, 1100 - Éden, Sorocaba - SP, 18103-085</t>
  </si>
  <si>
    <t>DFF Embalagens | Fábrica de Embalagens Caixas em Sorocaba</t>
  </si>
  <si>
    <t>R. Mariana Ribeiro de Andrade, 38 - Jardim Eden Ville, Sorocaba - SP, 18103-412</t>
  </si>
  <si>
    <t>Rewplastic Artefatos Plásticos - Indústria De Injeção Termoplástica</t>
  </si>
  <si>
    <t>Av. Paraná, 852 - Cajuru do Sul, Sorocaba - SP, 18105-000</t>
  </si>
  <si>
    <t xml:space="preserve">Localização </t>
  </si>
  <si>
    <t xml:space="preserve">Material </t>
  </si>
  <si>
    <t>Quantidade</t>
  </si>
  <si>
    <t>Valor / Kg</t>
  </si>
  <si>
    <t>Cotação logística</t>
  </si>
  <si>
    <t xml:space="preserve">Tipo de tranposte </t>
  </si>
  <si>
    <t>Status</t>
  </si>
  <si>
    <t xml:space="preserve">Kostela do Japonês </t>
  </si>
  <si>
    <t>Avenida Victor Andrew, 4455</t>
  </si>
  <si>
    <t xml:space="preserve">Papelão, plastico e vidro </t>
  </si>
  <si>
    <t>1 bag - 90x90x120                                   1 caixa de vidro</t>
  </si>
  <si>
    <t>Doação</t>
  </si>
  <si>
    <t>FIORINO</t>
  </si>
  <si>
    <t xml:space="preserve">Aguardando carta de doação </t>
  </si>
  <si>
    <t xml:space="preserve">Café HP restaurante </t>
  </si>
  <si>
    <t>Avenida Iporanga, 255, Sorocaba</t>
  </si>
  <si>
    <t>Fornecedor irá realizar</t>
  </si>
  <si>
    <t>Aguardando ass. para fornecimento do bag</t>
  </si>
  <si>
    <t>Lar Escola Monteiro Lobato</t>
  </si>
  <si>
    <t>Rua Antônio Aparecido Ferraz, 1111, Sorocaba</t>
  </si>
  <si>
    <t>A definir</t>
  </si>
  <si>
    <t>Após reunião e estudo</t>
  </si>
  <si>
    <t>Contêiner + caminhão (em estudo)</t>
  </si>
  <si>
    <t xml:space="preserve">Aguardando retorno do fornecedor </t>
  </si>
  <si>
    <t>CONSEG Sorocaba</t>
  </si>
  <si>
    <t>Pendente</t>
  </si>
  <si>
    <t>Caminhão</t>
  </si>
  <si>
    <t>Aguardando reunião (terça-feira)</t>
  </si>
  <si>
    <t>Universidade Mackenzie</t>
  </si>
  <si>
    <t>Higienópolis/São Paulo</t>
  </si>
  <si>
    <t>Papelão, papel branco/sigiloso, plásticos, latas de alumínio, tampinhas, livros e metais</t>
  </si>
  <si>
    <t>Aproximadamente 2 VUCs/semana (950 a 1.000 kg por coleta)</t>
  </si>
  <si>
    <t>TRUCK</t>
  </si>
  <si>
    <t>Aguardando volumes mensais / elaboração da proposta</t>
  </si>
  <si>
    <t>Avenida Gonçalves Magalhães, 20, Sorocaba, São Paulo</t>
  </si>
  <si>
    <t>Aguardando informações da coleta</t>
  </si>
  <si>
    <t>COMPARATIVO DE RESÍDUOS RECICLÁVEIS 2024 X 2025 X 2026</t>
  </si>
  <si>
    <t>Média mensal (t)</t>
  </si>
  <si>
    <t>Tipo de resíduo</t>
  </si>
  <si>
    <t>2024 (Total em tn)</t>
  </si>
  <si>
    <t>2025 (Total em tn)</t>
  </si>
  <si>
    <t>2026 1º semestre (Total em tn)</t>
  </si>
  <si>
    <t>Papel branco/ Triturado</t>
  </si>
  <si>
    <t>Têxtil</t>
  </si>
  <si>
    <t>Eletrônicos (Coopermiti)</t>
  </si>
  <si>
    <t>Livros</t>
  </si>
  <si>
    <t>Ferro</t>
  </si>
  <si>
    <t>Latinhas de Alumínio</t>
  </si>
  <si>
    <t>Recicláveis oriundos coleta seletiva</t>
  </si>
  <si>
    <t>Tampinhas</t>
  </si>
  <si>
    <t>Plástico</t>
  </si>
  <si>
    <t>Documentos Sigilosos</t>
  </si>
  <si>
    <t xml:space="preserve">Lâmpadas </t>
  </si>
  <si>
    <t>Vidro</t>
  </si>
  <si>
    <t>Químico</t>
  </si>
  <si>
    <t>TOTAL GERAL</t>
  </si>
  <si>
    <t>Pauta da Reunião | Parceria Estratégica – Sorocaba (CONSEG)</t>
  </si>
  <si>
    <t>Tema</t>
  </si>
  <si>
    <t>Situação / Ideia</t>
  </si>
  <si>
    <t xml:space="preserve">Beneficio para Iwrc </t>
  </si>
  <si>
    <t>Pontos para validar</t>
  </si>
  <si>
    <t>Perguntas</t>
  </si>
  <si>
    <t>Observações</t>
  </si>
  <si>
    <t>1. Coleta recorrente em Sorocaba</t>
  </si>
  <si>
    <t>Atualmente a empresa responsável pela coleta falha com frequência. Como consequência, parte dos recicláveis acaba sendo descartada no lixo comum. Necessidade de uma operação fixa, com coleta semanal em Sorocaba e região.</t>
  </si>
  <si>
    <t>Garante regularidade da coleta, reduz perda de materiais recicláveis e fortalece a presença da iWrc na cidade.</t>
  </si>
  <si>
    <t>Verificar capacidade operacional, rotas e custos. Avaliar emissão de MTR, nota fiscal</t>
  </si>
  <si>
    <t xml:space="preserve">- Já tens uma rota definida de coleta? 
- Quantas x na semana?
- Saberia o volume por coleta?
- Qual tipo de caminhão a empresa realiza essa coleta hoje?
- São recolhidos materiais de quantos locais?
- Saberia informar se os locais emitem MTR?
- Os locais de coleta já foram treinados em relação a separação dos recicláveis?
- Quais são os recicláveis entregues? </t>
  </si>
  <si>
    <t>Coreso e Copereso fazem coleta na cidade. Copereso recebe subsídio da Pref. Coreso não. Não estão conseguindo atender a população. Muitas vezes deixam de coletar por falta de pessoal/equipamento.</t>
  </si>
  <si>
    <t>2. Implantação de Ecopontos/Contêineres</t>
  </si>
  <si>
    <t>Instalação de contêineres/ecopontos identificados com a marca da iWrc para que moradores e empresas depositem resíduos recicláveis.</t>
  </si>
  <si>
    <t>Centraliza os materiais, reduz deslocamentos e aumenta o volume coletado. Também fortalece a marca na cidade.</t>
  </si>
  <si>
    <t>Definir locais, responsáveis, manutenção e licenças necessárias.</t>
  </si>
  <si>
    <t>- Temos a dispoibilidade de realizar esse projeto sem custo de locação de local?</t>
  </si>
  <si>
    <t>- Podemos utilizar o endereço do nosso HUB como ponto de entrega</t>
  </si>
  <si>
    <t>3. Divulgação da chegada da iWrc em Sorocaba</t>
  </si>
  <si>
    <t>José se disponibilizou a divulgar a chegada da iWrc por meio dos canais de comunicação que possui. A divulgação seria uma parceria, sem custos.</t>
  </si>
  <si>
    <t>Aumenta a visibilidade da empresa e pode atrair novos geradores de resíduos e parceiros.</t>
  </si>
  <si>
    <t>Definir formato da divulgação e materiais de comunicação.</t>
  </si>
  <si>
    <t>4. Campanha para resíduos eletrônicos</t>
  </si>
  <si>
    <t>Divulgação específica informando que a iWrc realiza a destinação correta de resíduos eletrônicos e definição de um ponto de entrega para a população.</t>
  </si>
  <si>
    <t>Aumenta a captação de resíduos eletrônicos, hoje uma demanda da operação.</t>
  </si>
  <si>
    <t>Definir ponto de entrega, logística e comunicação.</t>
  </si>
  <si>
    <t>-Podemos utilizar o endereço do nosso HUB como ponto de entrega</t>
  </si>
  <si>
    <t>5. Projeto social com catadores</t>
  </si>
  <si>
    <t>Desenvolver um projeto para integrar pessoas em situação de vulnerabilidade à coleta seletiva, oferecendo apoio, remuneração e, futuramente, cestas básicas.</t>
  </si>
  <si>
    <t>Gera impacto social, amplia a coleta e fortalece o posicionamento ESG da empresa.</t>
  </si>
  <si>
    <t>Avaliar viabilidade jurídica, operacional e financeira.</t>
  </si>
  <si>
    <t>- Apresentar a Universidade iWrc e utilizar os canais e contatos do José para divulgar a capacitação gratuita</t>
  </si>
  <si>
    <t>6. Combate ao descarte irregular e aos ferros-velhos clandestinos</t>
  </si>
  <si>
    <t>Criar alternativas legais para destinação de recicláveis e reduzir a comercialização em estabelecimentos clandestinos.</t>
  </si>
  <si>
    <t>Contribui para a cidade e fortalece a imagem institucional da iWrc.</t>
  </si>
  <si>
    <t>Avaliar como estruturar essa parceria com órgãos públicos.</t>
  </si>
  <si>
    <t>- Poderíamos disponibilizar pontos de coleta de materiais recicláveis + eletrônicos junto aos órgãos públicos?</t>
  </si>
  <si>
    <t>Parceiros Institucionais</t>
  </si>
  <si>
    <t>FIESP</t>
  </si>
  <si>
    <t>Coreso</t>
  </si>
  <si>
    <t>Cata-Vida</t>
  </si>
  <si>
    <t>Prefeitura de Sorocaba</t>
  </si>
  <si>
    <t>Prefeitura de Campinas</t>
  </si>
  <si>
    <t>Prefeitura de Jundiaí</t>
  </si>
  <si>
    <t>Prefeitura de Cajamar</t>
  </si>
  <si>
    <t>Prefeitura de Indaiatuba</t>
  </si>
  <si>
    <t>Prefeitura de Salto</t>
  </si>
  <si>
    <t>Condomínio Vert Ville</t>
  </si>
  <si>
    <t>4 contentores de 1.000 L</t>
  </si>
  <si>
    <t>Avenida Carlos Drummond de Andrade, nº 159</t>
  </si>
  <si>
    <t>Edifício Deuses do Olimpo</t>
  </si>
  <si>
    <t>Rua Val de Palmas, 302 – Vila Prudente</t>
  </si>
  <si>
    <t xml:space="preserve">Em avaliação </t>
  </si>
  <si>
    <t>Apresentação enviada</t>
  </si>
  <si>
    <t>Sem volume suficiente</t>
  </si>
  <si>
    <t>Sem interesse</t>
  </si>
  <si>
    <t>Parceria em análise</t>
  </si>
  <si>
    <t>Tentativa de contato</t>
  </si>
  <si>
    <t>Sem material reciclável</t>
  </si>
  <si>
    <t>Compra</t>
  </si>
  <si>
    <t>Inviável comercialmente</t>
  </si>
  <si>
    <t>Sem potencial no momento</t>
  </si>
  <si>
    <t>Já possui parceiro</t>
  </si>
  <si>
    <t>Parceria fechada</t>
  </si>
  <si>
    <t>Não contatado</t>
  </si>
  <si>
    <t>(15) 99791-6406</t>
  </si>
  <si>
    <t>(15) 3331-9900                                         (15) 99683-8677</t>
  </si>
  <si>
    <t xml:space="preserve">(15) 3412-1000                                                               (15) 99836-2746 </t>
  </si>
  <si>
    <t>(16) 3351-8015</t>
  </si>
  <si>
    <t>(15) 3018-7250                                                               (15) 99684-8934</t>
  </si>
  <si>
    <t xml:space="preserve">(11) 3618-3200                                                                                                          (11) 4200-0033 </t>
  </si>
  <si>
    <t>(19) 3404-9128</t>
  </si>
  <si>
    <t>(15) 3238-5509</t>
  </si>
  <si>
    <t xml:space="preserve">(15) 98155-6889 </t>
  </si>
  <si>
    <t xml:space="preserve">(15) 3388-0444                                                    (15) 3388-0450 </t>
  </si>
  <si>
    <t xml:space="preserve">Wpp </t>
  </si>
  <si>
    <t>(15) 99824-2962</t>
  </si>
  <si>
    <t>(15) 98147-3443</t>
  </si>
  <si>
    <t>(15) 98810-4141</t>
  </si>
  <si>
    <t>(15) 99789-4100                                   (15) 99169-0228</t>
  </si>
  <si>
    <t xml:space="preserve">(15) 99860-0060                             (15) 3033-2020                           </t>
  </si>
  <si>
    <t>(15) 3500-0230                                   (15) 3500-0230</t>
  </si>
  <si>
    <t>(11) 4026-5050</t>
  </si>
  <si>
    <t>(11) 4130-4800</t>
  </si>
  <si>
    <t>(11) 4130-4870</t>
  </si>
  <si>
    <t>(11) 3004-2222</t>
  </si>
  <si>
    <t>(11) 3512-8789</t>
  </si>
  <si>
    <t>(15) 99128-9289</t>
  </si>
  <si>
    <t>(15)3235-9000</t>
  </si>
  <si>
    <t>(15) 99736-0602</t>
  </si>
  <si>
    <t>(15) 3325-6051</t>
  </si>
  <si>
    <t>Enviado ao Gabs</t>
  </si>
  <si>
    <t>Valor atual / kg</t>
  </si>
  <si>
    <t>Centro de Reciclagem Sorocaba | R. Srg. Francisco Rodrigues da Rosa, 570 – Cajuru do Sul</t>
  </si>
  <si>
    <t>N/I</t>
  </si>
  <si>
    <t>Recicláveis diversos</t>
  </si>
  <si>
    <t>Plastico, papelão e pet</t>
  </si>
  <si>
    <t xml:space="preserve">Papel, papelão, pet, latinha e plastico </t>
  </si>
  <si>
    <t xml:space="preserve">Papel e plastico </t>
  </si>
  <si>
    <t>Papelão e plastico</t>
  </si>
  <si>
    <t xml:space="preserve">Papelão, plastico, metal e papel </t>
  </si>
  <si>
    <t>1–2 t/semana</t>
  </si>
  <si>
    <t>Baixo volume</t>
  </si>
  <si>
    <t>X</t>
  </si>
  <si>
    <t>1 bag/2 semanas</t>
  </si>
  <si>
    <t xml:space="preserve">R$ O,30 - Plasticos : R$ 0,50 </t>
  </si>
  <si>
    <t>1 bag/mês</t>
  </si>
  <si>
    <t>200 kg</t>
  </si>
  <si>
    <t>Zeca</t>
  </si>
  <si>
    <t xml:space="preserve"> Planilha - conseg</t>
  </si>
  <si>
    <t>Zion</t>
  </si>
  <si>
    <t>Big Bags - 2.000 kg ou contentores de 1000 L</t>
  </si>
  <si>
    <t>NelSom Eletrônica</t>
  </si>
  <si>
    <t>R. Cel. Nogueira Padilha, 683 – Vila Hortência</t>
  </si>
  <si>
    <t>(15) 99122-7384</t>
  </si>
  <si>
    <t>MR Eletrônica - Conserto e Reparos de Aparelhos Eletrônicos</t>
  </si>
  <si>
    <t>R. Atílio Silvano, 292 – Jd. Pacaembu</t>
  </si>
  <si>
    <t>(15) 99701-6593</t>
  </si>
  <si>
    <t>Eletrônica Total</t>
  </si>
  <si>
    <t>Av. Dr. Artur Bernardes, 815 – Vila Progresso</t>
  </si>
  <si>
    <t>(15) 99627-8359</t>
  </si>
  <si>
    <t>Infomaxx Informática Sorocaba</t>
  </si>
  <si>
    <t>R. Dr. Américo Figueiredo, 2451 – Jd. Simus</t>
  </si>
  <si>
    <t>(15) 98815-4655</t>
  </si>
  <si>
    <t xml:space="preserve">Eletrônicos </t>
  </si>
  <si>
    <t xml:space="preserve">A depender do material </t>
  </si>
  <si>
    <t xml:space="preserve">FAERTECH TECNOLOGIA </t>
  </si>
  <si>
    <t>R. João Crespo Lopes, 13 – Jd. América</t>
  </si>
  <si>
    <t>(15) 99797-1872</t>
  </si>
  <si>
    <t>Contato inválido</t>
  </si>
  <si>
    <t>Hackers Informática</t>
  </si>
  <si>
    <t>Av. Gen. Osório, 967 – Vila Trujillo</t>
  </si>
  <si>
    <t>(15) 97404-0208</t>
  </si>
  <si>
    <t>E9 INFORMÁTICA</t>
  </si>
  <si>
    <t>Av. Manoel de Camargo Sampaio, 763 – Vila Helena</t>
  </si>
  <si>
    <t>(15) 98100-4559</t>
  </si>
  <si>
    <t>Oportunidades – Logística</t>
  </si>
  <si>
    <t>4 bags/2 semanal</t>
  </si>
  <si>
    <t xml:space="preserve">1 lixeira 500l mês </t>
  </si>
  <si>
    <t>Big Bags / 2.000 kg ou contentores de 1000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</si>
</sst>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</numFmts>
  <fonts count="2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alibri"/>
      <family val="2"/>
    </font>
    <font>
      <b/>
      <sz val="16"/>
      <color theme="1"/>
      <name val="Aptos Narrow"/>
      <scheme val="minor"/>
    </font>
    <font>
      <sz val="11"/>
      <color rgb="FF242424"/>
      <name val="Aptos Narrow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6"/>
      <color rgb="FF0070C0"/>
      <name val="Calibri"/>
      <family val="2"/>
    </font>
    <font>
      <sz val="12"/>
      <color theme="1"/>
      <name val="Calibri"/>
      <family val="2"/>
    </font>
    <font>
      <sz val="12"/>
      <color rgb="FF203464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4"/>
      <color theme="0"/>
      <name val="Calibri"/>
      <family val="2"/>
    </font>
    <font>
      <sz val="12"/>
      <color rgb="FF242424"/>
      <name val="Calibri"/>
      <family val="2"/>
    </font>
    <font>
      <sz val="24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theme="3"/>
      <name val="Calibri"/>
      <family val="2"/>
    </font>
    <font>
      <b/>
      <sz val="16"/>
      <color theme="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44" fontId="7" fillId="0" borderId="0" applyFont="0" applyFill="0" applyBorder="0" applyAlignment="0" applyProtection="0"/>
    <xf numFmtId="0" fontId="8" fillId="0" borderId="0"/>
  </cellStyleXfs>
  <cellXfs count="82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0" fillId="2" borderId="0" xfId="0" applyFill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1" fillId="0" borderId="0" xfId="2"/>
    <xf numFmtId="0" fontId="1" fillId="0" borderId="0" xfId="2" applyAlignment="1">
      <alignment wrapText="1"/>
    </xf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0" fontId="6" fillId="0" borderId="0" xfId="2" applyFont="1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4"/>
    <xf numFmtId="0" fontId="10" fillId="4" borderId="5" xfId="4" applyFont="1" applyFill="1" applyBorder="1" applyAlignment="1">
      <alignment horizontal="center"/>
    </xf>
    <xf numFmtId="0" fontId="8" fillId="0" borderId="5" xfId="4" applyBorder="1" applyAlignment="1">
      <alignment horizontal="left" vertical="center" wrapText="1"/>
    </xf>
    <xf numFmtId="0" fontId="8" fillId="0" borderId="5" xfId="4" quotePrefix="1" applyBorder="1" applyAlignment="1">
      <alignment horizontal="left" vertical="center" wrapText="1"/>
    </xf>
    <xf numFmtId="0" fontId="11" fillId="0" borderId="0" xfId="0" applyFont="1"/>
    <xf numFmtId="2" fontId="11" fillId="0" borderId="0" xfId="0" applyNumberFormat="1" applyFont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0" fillId="0" borderId="11" xfId="0" applyBorder="1"/>
    <xf numFmtId="0" fontId="12" fillId="5" borderId="13" xfId="0" applyFont="1" applyFill="1" applyBorder="1"/>
    <xf numFmtId="2" fontId="0" fillId="0" borderId="5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12" fillId="5" borderId="14" xfId="0" applyNumberFormat="1" applyFont="1" applyFill="1" applyBorder="1" applyAlignment="1">
      <alignment horizontal="center"/>
    </xf>
    <xf numFmtId="2" fontId="12" fillId="5" borderId="15" xfId="0" applyNumberFormat="1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9" fillId="0" borderId="7" xfId="4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0" fillId="3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2" applyFont="1" applyFill="1" applyBorder="1" applyAlignment="1">
      <alignment horizontal="left" vertical="center" wrapText="1"/>
    </xf>
    <xf numFmtId="0" fontId="20" fillId="0" borderId="0" xfId="1" applyFont="1" applyFill="1" applyBorder="1" applyAlignment="1">
      <alignment horizontal="left" vertical="center" wrapText="1"/>
    </xf>
    <xf numFmtId="0" fontId="20" fillId="0" borderId="0" xfId="2" applyFont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44" fontId="0" fillId="0" borderId="0" xfId="3" applyFont="1" applyAlignment="1">
      <alignment horizontal="left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0" fillId="0" borderId="0" xfId="0" applyFont="1"/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24" fillId="0" borderId="0" xfId="0" applyFont="1"/>
    <xf numFmtId="0" fontId="24" fillId="0" borderId="0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left" vertical="center"/>
    </xf>
    <xf numFmtId="164" fontId="24" fillId="0" borderId="0" xfId="3" applyNumberFormat="1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44" fontId="24" fillId="0" borderId="0" xfId="3" applyFont="1" applyBorder="1" applyAlignment="1">
      <alignment horizontal="left" vertical="center"/>
    </xf>
    <xf numFmtId="0" fontId="19" fillId="6" borderId="5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5">
    <cellStyle name="Hiperlink" xfId="1" builtinId="8"/>
    <cellStyle name="Hyperlink" xfId="2" xr:uid="{00000000-000B-0000-0000-000008000000}"/>
    <cellStyle name="Moeda" xfId="3" builtinId="4"/>
    <cellStyle name="Normal" xfId="0" builtinId="0"/>
    <cellStyle name="Normal 2" xfId="4" xr:uid="{E658E31E-F023-0E48-89ED-BBBAE6A68AC5}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1333501</xdr:colOff>
      <xdr:row>0</xdr:row>
      <xdr:rowOff>42333</xdr:rowOff>
    </xdr:from>
    <xdr:to>
      <xdr:col>1</xdr:col>
      <xdr:colOff>2137835</xdr:colOff>
      <xdr:row>0</xdr:row>
      <xdr:rowOff>403965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E14FAE-0925-451F-8B8D-D2DAB2DDE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4445" y="42333"/>
          <a:ext cx="804334" cy="361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1263650</xdr:colOff>
      <xdr:row>0</xdr:row>
      <xdr:rowOff>31750</xdr:rowOff>
    </xdr:from>
    <xdr:to>
      <xdr:col>0</xdr:col>
      <xdr:colOff>2067984</xdr:colOff>
      <xdr:row>0</xdr:row>
      <xdr:rowOff>393382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6DD108-2DFF-430B-B13A-BB99189E7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" y="31750"/>
          <a:ext cx="804334" cy="361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939800</xdr:colOff>
      <xdr:row>0</xdr:row>
      <xdr:rowOff>12700</xdr:rowOff>
    </xdr:from>
    <xdr:to>
      <xdr:col>0</xdr:col>
      <xdr:colOff>1816100</xdr:colOff>
      <xdr:row>0</xdr:row>
      <xdr:rowOff>406688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A673B2-4227-D148-A042-7187FCD49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12700"/>
          <a:ext cx="876300" cy="393988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7147FE-6AEB-E943-8F82-706BB01B1F7C}" name="Tabela2" displayName="Tabela2" ref="A3:J74" totalsRowShown="0" headerRowDxfId="24">
  <autoFilter ref="A3:J74" xr:uid="{367147FE-6AEB-E943-8F82-706BB01B1F7C}"/>
  <tableColumns count="10">
    <tableColumn id="1" xr3:uid="{841D6BD2-A8AB-D049-A091-FF289C90349A}" name="#" dataDxfId="23"/>
    <tableColumn id="2" xr3:uid="{A7923DC0-CDC8-DF42-ADD4-35ADC9C84364}" name="Empresa"/>
    <tableColumn id="3" xr3:uid="{4DD04196-7CE2-084C-9AAF-4C4C2745300C}" name="Endereço"/>
    <tableColumn id="4" xr3:uid="{D0179A41-F76D-2248-BC98-6EC322465A3D}" name="Telefone"/>
    <tableColumn id="5" xr3:uid="{18F9C960-762D-0B4A-80AA-AA9824ED762B}" name="E-mail"/>
    <tableColumn id="6" xr3:uid="{0E737202-950C-CE42-99D9-9EF75E7845DF}" name="site"/>
    <tableColumn id="7" xr3:uid="{292595DA-93FC-CE45-920B-B0EF871BA3E4}" name="comentários"/>
    <tableColumn id="8" xr3:uid="{B97CF9E6-9B60-E645-AF8C-6BE71E2CC909}" name="Materiais que geram"/>
    <tableColumn id="9" xr3:uid="{BBA7D4BE-7E0A-5947-A8B4-80CF1E17AA0A}" name="Quantidade mensal"/>
    <tableColumn id="10" xr3:uid="{8A8B9D42-E5D2-3748-AC1E-4F3F1472F22E}" name="Coletas semanais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9A768-07BF-EB4E-8FF2-39CBAB7AA03F}" name="Tabela1" displayName="Tabela1" ref="A2:M166" totalsRowShown="0" headerRowDxfId="11" dataDxfId="28" tableBorderDxfId="27">
  <autoFilter ref="A2:M166" xr:uid="{7069A768-07BF-EB4E-8FF2-39CBAB7AA03F}"/>
  <tableColumns count="13">
    <tableColumn id="11" xr3:uid="{BA72E572-1701-C648-8E37-79EF99F13B19}" name="ID" dataDxfId="26"/>
    <tableColumn id="1" xr3:uid="{51CDDC1B-97CF-BA42-BCDF-36C24711F117}" name="Empresa " dataDxfId="22"/>
    <tableColumn id="2" xr3:uid="{3E105F69-6E6B-AD46-B616-4DF487CDE173}" name="Cidade/Bairro" dataDxfId="21"/>
    <tableColumn id="3" xr3:uid="{D5AA6966-08EA-5049-9642-CDA904073557}" name="Telefone / WhatsApp" dataDxfId="20"/>
    <tableColumn id="4" xr3:uid="{A7059F49-1063-174D-941C-20BD58E820FF}" name="Email " dataDxfId="19"/>
    <tableColumn id="10" xr3:uid="{BE795E21-F9F2-8047-9EA5-D67EC43EB282}" name="Responsável iWrc" dataDxfId="25" dataCellStyle="Hyperlink"/>
    <tableColumn id="5" xr3:uid="{583F8684-B044-6C48-9194-4DA95EF3B326}" name="Status / Etapa " dataDxfId="18"/>
    <tableColumn id="6" xr3:uid="{4D74DA54-17A2-7E4D-82FC-B13E3E5FB83C}" name="Materiais que Geram " dataDxfId="17"/>
    <tableColumn id="7" xr3:uid="{211049E0-E04E-B344-B56B-55F732D7FA80}" name="Quantidade / Volume" dataDxfId="16"/>
    <tableColumn id="8" xr3:uid="{C87B34B8-3612-D14A-96C9-1548459919EF}" name="Já possui parceiro?" dataDxfId="15"/>
    <tableColumn id="9" xr3:uid="{50110819-EC58-5942-99C2-E4B37259F1CA}" name="Compra ou doação" dataDxfId="14"/>
    <tableColumn id="12" xr3:uid="{3ECD18AC-5ED4-4081-B4D2-1C396DB4462E}" name="Valor atual / kg" dataDxfId="13"/>
    <tableColumn id="13" xr3:uid="{708E6627-14F0-4A10-92A3-8C5B8A59E556}" name="Enviado ao Gabs" dataDxfId="12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268027-8FB8-4A61-B3BB-3EEEA9C38663}" name="Tabela5" displayName="Tabela5" ref="A2:H10" totalsRowShown="0" headerRowDxfId="0" dataDxfId="2" headerRowBorderDxfId="1">
  <autoFilter ref="A2:H10" xr:uid="{B8268027-8FB8-4A61-B3BB-3EEEA9C38663}"/>
  <tableColumns count="8">
    <tableColumn id="1" xr3:uid="{8442533A-BA16-47B4-AE4A-A26F377A9D3C}" name="Empresa" dataDxfId="10"/>
    <tableColumn id="2" xr3:uid="{3D0FF844-F532-4ED1-8289-78ABF168C840}" name="Localização " dataDxfId="9"/>
    <tableColumn id="3" xr3:uid="{F2E06CD2-1FAB-4FDD-803E-69AE092F1DBE}" name="Material " dataDxfId="8"/>
    <tableColumn id="4" xr3:uid="{8EA912FC-261D-4367-8D89-3CFFBD28D73C}" name="Quantidade" dataDxfId="7"/>
    <tableColumn id="5" xr3:uid="{B36250EC-AA31-47AF-BF71-1E1E98F8D3F3}" name="Valor / Kg" dataDxfId="6"/>
    <tableColumn id="6" xr3:uid="{933AA3CC-D4F6-480E-A840-030CCA1E0D84}" name="Cotação logística" dataDxfId="5"/>
    <tableColumn id="7" xr3:uid="{A3CB222F-BB44-4827-8EDC-5E8F28454FBB}" name="Tipo de tranposte " dataDxfId="4"/>
    <tableColumn id="8" xr3:uid="{DB24783C-1FDA-41C2-8DE2-3A2F13323EBB}" name="Status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debomlugar@redebomlugar.com.br" TargetMode="External"/><Relationship Id="rId13" Type="http://schemas.openxmlformats.org/officeDocument/2006/relationships/hyperlink" Target="mailto:Renata.labarca@ciesp.com.br" TargetMode="External"/><Relationship Id="rId18" Type="http://schemas.openxmlformats.org/officeDocument/2006/relationships/hyperlink" Target="mailto:cassio@unisanta.com.br" TargetMode="External"/><Relationship Id="rId3" Type="http://schemas.openxmlformats.org/officeDocument/2006/relationships/hyperlink" Target="mailto:comercial@brasilreverso.com.br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braslog@braslogsorocaba.com.br" TargetMode="External"/><Relationship Id="rId12" Type="http://schemas.openxmlformats.org/officeDocument/2006/relationships/hyperlink" Target="mailto:Adm.indaiatuba@ciesp.com.br" TargetMode="External"/><Relationship Id="rId17" Type="http://schemas.openxmlformats.org/officeDocument/2006/relationships/hyperlink" Target="mailto:gps.asseio.op@puc-campinas.edu.br" TargetMode="External"/><Relationship Id="rId2" Type="http://schemas.openxmlformats.org/officeDocument/2006/relationships/hyperlink" Target="mailto:contato@reciclagembrasil.com.br" TargetMode="External"/><Relationship Id="rId16" Type="http://schemas.openxmlformats.org/officeDocument/2006/relationships/hyperlink" Target="mailto:compras.campus@unesp.br" TargetMode="External"/><Relationship Id="rId20" Type="http://schemas.openxmlformats.org/officeDocument/2006/relationships/hyperlink" Target="mailto:tiago@anglosoroca.com.br" TargetMode="External"/><Relationship Id="rId1" Type="http://schemas.openxmlformats.org/officeDocument/2006/relationships/hyperlink" Target="https://webindustrial.com.br/condominio-industrial/condominio-industrial-omega-935" TargetMode="External"/><Relationship Id="rId6" Type="http://schemas.openxmlformats.org/officeDocument/2006/relationships/hyperlink" Target="mailto:locacao@fulwood.com.br" TargetMode="External"/><Relationship Id="rId11" Type="http://schemas.openxmlformats.org/officeDocument/2006/relationships/hyperlink" Target="mailto:CONTATO.S&#195;OCARLOS@CIESP.COM.BR" TargetMode="External"/><Relationship Id="rId5" Type="http://schemas.openxmlformats.org/officeDocument/2006/relationships/hyperlink" Target="mailto:Contato@delrios.com.br" TargetMode="External"/><Relationship Id="rId15" Type="http://schemas.openxmlformats.org/officeDocument/2006/relationships/hyperlink" Target="mailto:degr@ufcar.br" TargetMode="External"/><Relationship Id="rId10" Type="http://schemas.openxmlformats.org/officeDocument/2006/relationships/hyperlink" Target="mailto:jeniffer.filadelfo@unip.br" TargetMode="External"/><Relationship Id="rId19" Type="http://schemas.openxmlformats.org/officeDocument/2006/relationships/hyperlink" Target="mailto:atendimento@eapiaurora.com.br" TargetMode="External"/><Relationship Id="rId4" Type="http://schemas.openxmlformats.org/officeDocument/2006/relationships/hyperlink" Target="mailto:Richard@m5centrologistico.com.br" TargetMode="External"/><Relationship Id="rId9" Type="http://schemas.openxmlformats.org/officeDocument/2006/relationships/hyperlink" Target="mailto:Eduardo.nascimento@taurus.com.br" TargetMode="External"/><Relationship Id="rId14" Type="http://schemas.openxmlformats.org/officeDocument/2006/relationships/hyperlink" Target="mailto:Vanderson.gimenez@uniso.br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contato@cnhind.com" TargetMode="External"/><Relationship Id="rId21" Type="http://schemas.openxmlformats.org/officeDocument/2006/relationships/hyperlink" Target="mailto:Leonardo@majestyglobal.com" TargetMode="External"/><Relationship Id="rId34" Type="http://schemas.openxmlformats.org/officeDocument/2006/relationships/hyperlink" Target="mailto:sac@unilever.com" TargetMode="External"/><Relationship Id="rId42" Type="http://schemas.openxmlformats.org/officeDocument/2006/relationships/hyperlink" Target="mailto:contato@crowncork.com" TargetMode="External"/><Relationship Id="rId47" Type="http://schemas.openxmlformats.org/officeDocument/2006/relationships/hyperlink" Target="mailto:contato@ajinomoto.com.br%20%20%20%20%20%20%20%20%20%20%20%20%20%20%20%20%20%20%20%20%20%20%20%20%20%20%20leo_silva@dr.ajinomoto.com" TargetMode="External"/><Relationship Id="rId50" Type="http://schemas.openxmlformats.org/officeDocument/2006/relationships/hyperlink" Target="mailto:ronaldo.pereira@adimax.com" TargetMode="External"/><Relationship Id="rId55" Type="http://schemas.openxmlformats.org/officeDocument/2006/relationships/hyperlink" Target="mailto:atendimento@casteloalimentos.com.br" TargetMode="External"/><Relationship Id="rId63" Type="http://schemas.openxmlformats.org/officeDocument/2006/relationships/drawing" Target="../drawings/drawing1.xml"/><Relationship Id="rId7" Type="http://schemas.openxmlformats.org/officeDocument/2006/relationships/hyperlink" Target="mailto:Eduardo.nascimento@taurus.com.br" TargetMode="External"/><Relationship Id="rId2" Type="http://schemas.openxmlformats.org/officeDocument/2006/relationships/hyperlink" Target="mailto:braslog@braslogsorocaba.com.br" TargetMode="External"/><Relationship Id="rId16" Type="http://schemas.openxmlformats.org/officeDocument/2006/relationships/hyperlink" Target="mailto:Adm.indaiatuba@ciesp.com.br" TargetMode="External"/><Relationship Id="rId29" Type="http://schemas.openxmlformats.org/officeDocument/2006/relationships/hyperlink" Target="mailto:contato@tecsis.com.br" TargetMode="External"/><Relationship Id="rId11" Type="http://schemas.openxmlformats.org/officeDocument/2006/relationships/hyperlink" Target="mailto:degr@ufscar.br" TargetMode="External"/><Relationship Id="rId24" Type="http://schemas.openxmlformats.org/officeDocument/2006/relationships/hyperlink" Target="mailto:zfbrasil@zf.com,%20marta@mmeditorial.com.br" TargetMode="External"/><Relationship Id="rId32" Type="http://schemas.openxmlformats.org/officeDocument/2006/relationships/hyperlink" Target="mailto:contato@nissin.com.br" TargetMode="External"/><Relationship Id="rId37" Type="http://schemas.openxmlformats.org/officeDocument/2006/relationships/hyperlink" Target="mailto:contato@dhl.com" TargetMode="External"/><Relationship Id="rId40" Type="http://schemas.openxmlformats.org/officeDocument/2006/relationships/hyperlink" Target="mailto:contato@magazineluiza.com.br" TargetMode="External"/><Relationship Id="rId45" Type="http://schemas.openxmlformats.org/officeDocument/2006/relationships/hyperlink" Target="mailto:klabin@klabin.com.br" TargetMode="External"/><Relationship Id="rId53" Type="http://schemas.openxmlformats.org/officeDocument/2006/relationships/hyperlink" Target="mailto:contato@enercon.de" TargetMode="External"/><Relationship Id="rId58" Type="http://schemas.openxmlformats.org/officeDocument/2006/relationships/hyperlink" Target="mailto:ouvidoria@colegiouirapuru.com.br" TargetMode="External"/><Relationship Id="rId5" Type="http://schemas.openxmlformats.org/officeDocument/2006/relationships/hyperlink" Target="mailto:atendimento@eapiaurora.com.br" TargetMode="External"/><Relationship Id="rId61" Type="http://schemas.openxmlformats.org/officeDocument/2006/relationships/hyperlink" Target="mailto:suportepedagogico@ufarol.com.br" TargetMode="External"/><Relationship Id="rId19" Type="http://schemas.openxmlformats.org/officeDocument/2006/relationships/hyperlink" Target="mailto:andressa@diamondoffice.com.br" TargetMode="External"/><Relationship Id="rId14" Type="http://schemas.openxmlformats.org/officeDocument/2006/relationships/hyperlink" Target="mailto:cassio@unisanta.com.br" TargetMode="External"/><Relationship Id="rId22" Type="http://schemas.openxmlformats.org/officeDocument/2006/relationships/hyperlink" Target="mailto:vendas@parabor.com.br" TargetMode="External"/><Relationship Id="rId27" Type="http://schemas.openxmlformats.org/officeDocument/2006/relationships/hyperlink" Target="mailto:brasil.info@metso.com" TargetMode="External"/><Relationship Id="rId30" Type="http://schemas.openxmlformats.org/officeDocument/2006/relationships/hyperlink" Target="mailto:filipe.zarur@chemyunion.com" TargetMode="External"/><Relationship Id="rId35" Type="http://schemas.openxmlformats.org/officeDocument/2006/relationships/hyperlink" Target="mailto:contato@johndeere.com" TargetMode="External"/><Relationship Id="rId43" Type="http://schemas.openxmlformats.org/officeDocument/2006/relationships/hyperlink" Target="mailto:contato@tetrapak.com" TargetMode="External"/><Relationship Id="rId48" Type="http://schemas.openxmlformats.org/officeDocument/2006/relationships/hyperlink" Target="mailto:contato@ype.com.br" TargetMode="External"/><Relationship Id="rId56" Type="http://schemas.openxmlformats.org/officeDocument/2006/relationships/hyperlink" Target="mailto:paralegal.corporativo@marfrig.com.br" TargetMode="External"/><Relationship Id="rId64" Type="http://schemas.openxmlformats.org/officeDocument/2006/relationships/table" Target="../tables/table2.xml"/><Relationship Id="rId8" Type="http://schemas.openxmlformats.org/officeDocument/2006/relationships/hyperlink" Target="mailto:comercial@brasilreverso.com.br" TargetMode="External"/><Relationship Id="rId51" Type="http://schemas.openxmlformats.org/officeDocument/2006/relationships/hyperlink" Target="mailto:isantos@bardella.com.br" TargetMode="External"/><Relationship Id="rId3" Type="http://schemas.openxmlformats.org/officeDocument/2006/relationships/hyperlink" Target="mailto:Richard@m5centrologistico.com.br" TargetMode="External"/><Relationship Id="rId12" Type="http://schemas.openxmlformats.org/officeDocument/2006/relationships/hyperlink" Target="mailto:compras.campus@unesp.br" TargetMode="External"/><Relationship Id="rId17" Type="http://schemas.openxmlformats.org/officeDocument/2006/relationships/hyperlink" Target="mailto:Renata.labarca@ciesp.com.br" TargetMode="External"/><Relationship Id="rId25" Type="http://schemas.openxmlformats.org/officeDocument/2006/relationships/hyperlink" Target="mailto:marketing.br@schaeffler.com" TargetMode="External"/><Relationship Id="rId33" Type="http://schemas.openxmlformats.org/officeDocument/2006/relationships/hyperlink" Target="mailto:contato@amcor.com" TargetMode="External"/><Relationship Id="rId38" Type="http://schemas.openxmlformats.org/officeDocument/2006/relationships/hyperlink" Target="mailto:contato@mercadolivre.com" TargetMode="External"/><Relationship Id="rId46" Type="http://schemas.openxmlformats.org/officeDocument/2006/relationships/hyperlink" Target="mailto:atendimento@pepsico.com" TargetMode="External"/><Relationship Id="rId59" Type="http://schemas.openxmlformats.org/officeDocument/2006/relationships/hyperlink" Target="mailto:julianabovo@colegiorenascer.com.br" TargetMode="External"/><Relationship Id="rId20" Type="http://schemas.openxmlformats.org/officeDocument/2006/relationships/hyperlink" Target="mailto:compras@soroplast.com.br" TargetMode="External"/><Relationship Id="rId41" Type="http://schemas.openxmlformats.org/officeDocument/2006/relationships/hyperlink" Target="mailto:contato@cevalogistics.com" TargetMode="External"/><Relationship Id="rId54" Type="http://schemas.openxmlformats.org/officeDocument/2006/relationships/hyperlink" Target="mailto:comercial@hexis.com.br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mailto:contato@fulwood.com.br" TargetMode="External"/><Relationship Id="rId6" Type="http://schemas.openxmlformats.org/officeDocument/2006/relationships/hyperlink" Target="mailto:redebomlugar@redebomlugar.com.br" TargetMode="External"/><Relationship Id="rId15" Type="http://schemas.openxmlformats.org/officeDocument/2006/relationships/hyperlink" Target="mailto:tiago@anglosoroca.com.br" TargetMode="External"/><Relationship Id="rId23" Type="http://schemas.openxmlformats.org/officeDocument/2006/relationships/hyperlink" Target="mailto:contato@toyota.com.br" TargetMode="External"/><Relationship Id="rId28" Type="http://schemas.openxmlformats.org/officeDocument/2006/relationships/hyperlink" Target="mailto:contato@clarios.com" TargetMode="External"/><Relationship Id="rId36" Type="http://schemas.openxmlformats.org/officeDocument/2006/relationships/hyperlink" Target="mailto:marketing.br@kiongroup.com" TargetMode="External"/><Relationship Id="rId49" Type="http://schemas.openxmlformats.org/officeDocument/2006/relationships/hyperlink" Target="mailto:loja.caseih@cnhind.com" TargetMode="External"/><Relationship Id="rId57" Type="http://schemas.openxmlformats.org/officeDocument/2006/relationships/hyperlink" Target="mailto:rigoni@sp.senai.br" TargetMode="External"/><Relationship Id="rId10" Type="http://schemas.openxmlformats.org/officeDocument/2006/relationships/hyperlink" Target="mailto:Vanderson.gimenez@uniso.br" TargetMode="External"/><Relationship Id="rId31" Type="http://schemas.openxmlformats.org/officeDocument/2006/relationships/hyperlink" Target="mailto:brasil@prysmiangroup.com" TargetMode="External"/><Relationship Id="rId44" Type="http://schemas.openxmlformats.org/officeDocument/2006/relationships/hyperlink" Target="mailto:contato@brasilata.com.br" TargetMode="External"/><Relationship Id="rId52" Type="http://schemas.openxmlformats.org/officeDocument/2006/relationships/hyperlink" Target="mailto:contato@splice.com.br" TargetMode="External"/><Relationship Id="rId60" Type="http://schemas.openxmlformats.org/officeDocument/2006/relationships/hyperlink" Target="mailto:abatista@sesisp.org.br" TargetMode="External"/><Relationship Id="rId65" Type="http://schemas.microsoft.com/office/2019/04/relationships/namedSheetView" Target="../namedSheetViews/namedSheetView1.xml"/><Relationship Id="rId4" Type="http://schemas.openxmlformats.org/officeDocument/2006/relationships/hyperlink" Target="mailto:Contato@delrios.com.br" TargetMode="External"/><Relationship Id="rId9" Type="http://schemas.openxmlformats.org/officeDocument/2006/relationships/hyperlink" Target="mailto:jeniffer.filadelfo@unip.br" TargetMode="External"/><Relationship Id="rId13" Type="http://schemas.openxmlformats.org/officeDocument/2006/relationships/hyperlink" Target="mailto:gps.asseio.superv@puc-campinas.edu.br" TargetMode="External"/><Relationship Id="rId18" Type="http://schemas.openxmlformats.org/officeDocument/2006/relationships/hyperlink" Target="mailto:contato.saocarlos@ciesp.com.br" TargetMode="External"/><Relationship Id="rId39" Type="http://schemas.openxmlformats.org/officeDocument/2006/relationships/hyperlink" Target="mailto:contato@amazon.com.b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59A2-75EF-0F4F-AE64-2946FFDFFA85}">
  <dimension ref="A1:J74"/>
  <sheetViews>
    <sheetView topLeftCell="A50" workbookViewId="0">
      <selection activeCell="H40" sqref="H40"/>
    </sheetView>
  </sheetViews>
  <sheetFormatPr defaultColWidth="11" defaultRowHeight="16" x14ac:dyDescent="0.4"/>
  <cols>
    <col min="1" max="1" width="10.83203125" style="2"/>
    <col min="2" max="2" width="32.83203125" customWidth="1"/>
    <col min="3" max="3" width="31.5" customWidth="1"/>
    <col min="4" max="4" width="28.33203125" bestFit="1" customWidth="1"/>
    <col min="5" max="5" width="29.58203125" bestFit="1" customWidth="1"/>
    <col min="6" max="6" width="72.83203125" hidden="1" customWidth="1"/>
    <col min="7" max="7" width="53.33203125" customWidth="1"/>
    <col min="8" max="9" width="20.08203125" customWidth="1"/>
    <col min="10" max="10" width="24.08203125" customWidth="1"/>
  </cols>
  <sheetData>
    <row r="1" spans="1:10" s="8" customFormat="1" ht="21" x14ac:dyDescent="0.5">
      <c r="A1" s="7"/>
      <c r="B1" s="8" t="s">
        <v>0</v>
      </c>
    </row>
    <row r="3" spans="1:10" s="2" customForma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4">
      <c r="A4" s="2">
        <v>1</v>
      </c>
      <c r="B4" t="s">
        <v>11</v>
      </c>
      <c r="C4" t="s">
        <v>12</v>
      </c>
      <c r="D4" t="s">
        <v>13</v>
      </c>
      <c r="E4" s="10" t="s">
        <v>14</v>
      </c>
      <c r="F4" t="s">
        <v>15</v>
      </c>
      <c r="G4" t="s">
        <v>16</v>
      </c>
    </row>
    <row r="5" spans="1:10" x14ac:dyDescent="0.4">
      <c r="A5" s="2">
        <v>2</v>
      </c>
      <c r="B5" t="s">
        <v>17</v>
      </c>
      <c r="C5" t="s">
        <v>18</v>
      </c>
      <c r="D5" t="s">
        <v>19</v>
      </c>
      <c r="E5" s="10" t="s">
        <v>20</v>
      </c>
      <c r="F5" t="s">
        <v>21</v>
      </c>
      <c r="G5" t="s">
        <v>22</v>
      </c>
    </row>
    <row r="6" spans="1:10" ht="48" hidden="1" x14ac:dyDescent="0.4">
      <c r="A6" s="2">
        <v>3</v>
      </c>
      <c r="B6" t="s">
        <v>23</v>
      </c>
      <c r="C6" t="s">
        <v>24</v>
      </c>
      <c r="D6" t="s">
        <v>25</v>
      </c>
      <c r="F6" t="s">
        <v>26</v>
      </c>
      <c r="G6" s="9" t="s">
        <v>27</v>
      </c>
    </row>
    <row r="7" spans="1:10" ht="48" x14ac:dyDescent="0.4">
      <c r="A7" s="2">
        <v>4</v>
      </c>
      <c r="B7" t="s">
        <v>28</v>
      </c>
      <c r="C7" t="s">
        <v>29</v>
      </c>
      <c r="D7" t="s">
        <v>30</v>
      </c>
      <c r="E7" s="10" t="s">
        <v>31</v>
      </c>
      <c r="F7" t="s">
        <v>32</v>
      </c>
      <c r="G7" s="9" t="s">
        <v>33</v>
      </c>
      <c r="H7" t="s">
        <v>34</v>
      </c>
      <c r="I7" s="9" t="s">
        <v>35</v>
      </c>
      <c r="J7" t="s">
        <v>36</v>
      </c>
    </row>
    <row r="8" spans="1:10" hidden="1" x14ac:dyDescent="0.4">
      <c r="A8" s="2">
        <v>5</v>
      </c>
      <c r="B8" t="s">
        <v>37</v>
      </c>
      <c r="C8" t="s">
        <v>38</v>
      </c>
      <c r="D8" t="s">
        <v>39</v>
      </c>
      <c r="F8" t="s">
        <v>40</v>
      </c>
    </row>
    <row r="9" spans="1:10" ht="32" hidden="1" x14ac:dyDescent="0.4">
      <c r="A9" s="2">
        <v>6</v>
      </c>
      <c r="B9" t="s">
        <v>41</v>
      </c>
      <c r="C9" t="s">
        <v>42</v>
      </c>
      <c r="D9" t="s">
        <v>43</v>
      </c>
      <c r="F9" t="s">
        <v>44</v>
      </c>
      <c r="G9" s="9" t="s">
        <v>45</v>
      </c>
      <c r="H9" s="9" t="s">
        <v>34</v>
      </c>
      <c r="I9" t="s">
        <v>46</v>
      </c>
      <c r="J9" t="s">
        <v>47</v>
      </c>
    </row>
    <row r="10" spans="1:10" hidden="1" x14ac:dyDescent="0.4">
      <c r="A10" s="2">
        <v>7</v>
      </c>
      <c r="B10" t="s">
        <v>48</v>
      </c>
      <c r="C10" t="s">
        <v>49</v>
      </c>
      <c r="D10" t="s">
        <v>50</v>
      </c>
      <c r="F10" t="s">
        <v>51</v>
      </c>
    </row>
    <row r="11" spans="1:10" hidden="1" x14ac:dyDescent="0.4">
      <c r="A11" s="2">
        <v>8</v>
      </c>
      <c r="B11" t="s">
        <v>52</v>
      </c>
      <c r="C11" t="s">
        <v>53</v>
      </c>
      <c r="D11" t="s">
        <v>54</v>
      </c>
    </row>
    <row r="12" spans="1:10" x14ac:dyDescent="0.4">
      <c r="A12" s="2">
        <v>9</v>
      </c>
      <c r="B12" t="s">
        <v>55</v>
      </c>
      <c r="C12" t="s">
        <v>56</v>
      </c>
      <c r="D12" t="s">
        <v>25</v>
      </c>
      <c r="F12" s="1" t="s">
        <v>57</v>
      </c>
      <c r="G12" t="s">
        <v>58</v>
      </c>
    </row>
    <row r="13" spans="1:10" hidden="1" x14ac:dyDescent="0.4">
      <c r="A13" s="2">
        <v>10</v>
      </c>
      <c r="B13" t="s">
        <v>59</v>
      </c>
      <c r="C13" t="s">
        <v>60</v>
      </c>
      <c r="D13" t="s">
        <v>61</v>
      </c>
    </row>
    <row r="14" spans="1:10" x14ac:dyDescent="0.4">
      <c r="A14" s="2">
        <v>11</v>
      </c>
      <c r="B14" t="s">
        <v>62</v>
      </c>
      <c r="C14" t="s">
        <v>63</v>
      </c>
      <c r="D14" t="s">
        <v>64</v>
      </c>
      <c r="E14" s="10" t="s">
        <v>65</v>
      </c>
      <c r="G14" s="13" t="s">
        <v>66</v>
      </c>
    </row>
    <row r="15" spans="1:10" hidden="1" x14ac:dyDescent="0.4">
      <c r="A15" s="2">
        <v>12</v>
      </c>
      <c r="B15" t="s">
        <v>67</v>
      </c>
      <c r="C15" t="s">
        <v>68</v>
      </c>
      <c r="D15" t="s">
        <v>69</v>
      </c>
      <c r="F15" t="s">
        <v>70</v>
      </c>
    </row>
    <row r="16" spans="1:10" x14ac:dyDescent="0.4">
      <c r="A16" s="2">
        <v>13</v>
      </c>
      <c r="B16" t="s">
        <v>71</v>
      </c>
      <c r="D16" t="s">
        <v>72</v>
      </c>
      <c r="E16" s="10" t="s">
        <v>73</v>
      </c>
      <c r="G16" s="13" t="s">
        <v>66</v>
      </c>
    </row>
    <row r="17" spans="1:10" x14ac:dyDescent="0.4">
      <c r="A17" s="2">
        <v>15</v>
      </c>
      <c r="B17" t="s">
        <v>74</v>
      </c>
      <c r="C17" t="s">
        <v>75</v>
      </c>
      <c r="D17" t="s">
        <v>76</v>
      </c>
    </row>
    <row r="18" spans="1:10" x14ac:dyDescent="0.4">
      <c r="A18" s="2">
        <v>16</v>
      </c>
      <c r="B18" t="s">
        <v>77</v>
      </c>
      <c r="C18" t="s">
        <v>75</v>
      </c>
      <c r="D18" t="s">
        <v>78</v>
      </c>
    </row>
    <row r="19" spans="1:10" x14ac:dyDescent="0.4">
      <c r="A19" s="2">
        <v>17</v>
      </c>
      <c r="B19" t="s">
        <v>79</v>
      </c>
      <c r="C19" t="s">
        <v>80</v>
      </c>
      <c r="D19" t="s">
        <v>81</v>
      </c>
    </row>
    <row r="20" spans="1:10" x14ac:dyDescent="0.4">
      <c r="A20" s="2">
        <v>18</v>
      </c>
      <c r="B20" t="s">
        <v>82</v>
      </c>
      <c r="C20" t="s">
        <v>80</v>
      </c>
    </row>
    <row r="21" spans="1:10" x14ac:dyDescent="0.4">
      <c r="A21" s="2">
        <v>19</v>
      </c>
      <c r="B21" t="s">
        <v>83</v>
      </c>
      <c r="C21" t="s">
        <v>84</v>
      </c>
    </row>
    <row r="22" spans="1:10" x14ac:dyDescent="0.4">
      <c r="A22" s="2">
        <v>20</v>
      </c>
      <c r="B22" t="s">
        <v>85</v>
      </c>
      <c r="C22" t="s">
        <v>75</v>
      </c>
      <c r="D22" t="s">
        <v>86</v>
      </c>
      <c r="G22" t="s">
        <v>87</v>
      </c>
    </row>
    <row r="23" spans="1:10" x14ac:dyDescent="0.4">
      <c r="A23" s="2">
        <v>21</v>
      </c>
      <c r="B23" t="s">
        <v>88</v>
      </c>
      <c r="C23" t="s">
        <v>75</v>
      </c>
      <c r="D23" t="s">
        <v>89</v>
      </c>
      <c r="E23" s="10" t="s">
        <v>90</v>
      </c>
      <c r="G23" t="s">
        <v>91</v>
      </c>
      <c r="H23" t="s">
        <v>92</v>
      </c>
      <c r="I23" t="s">
        <v>93</v>
      </c>
      <c r="J23" t="s">
        <v>94</v>
      </c>
    </row>
    <row r="24" spans="1:10" x14ac:dyDescent="0.4">
      <c r="A24" s="2">
        <v>22</v>
      </c>
      <c r="B24" t="s">
        <v>95</v>
      </c>
      <c r="C24" t="s">
        <v>96</v>
      </c>
    </row>
    <row r="25" spans="1:10" x14ac:dyDescent="0.4">
      <c r="A25" s="2">
        <v>23</v>
      </c>
      <c r="B25" t="s">
        <v>97</v>
      </c>
      <c r="C25" t="s">
        <v>96</v>
      </c>
    </row>
    <row r="26" spans="1:10" x14ac:dyDescent="0.4">
      <c r="A26" s="2">
        <v>24</v>
      </c>
      <c r="B26" t="s">
        <v>98</v>
      </c>
      <c r="C26" t="s">
        <v>99</v>
      </c>
      <c r="E26" s="10" t="s">
        <v>100</v>
      </c>
      <c r="G26" t="s">
        <v>101</v>
      </c>
      <c r="H26" t="s">
        <v>102</v>
      </c>
      <c r="I26" t="s">
        <v>46</v>
      </c>
      <c r="J26" t="s">
        <v>94</v>
      </c>
    </row>
    <row r="27" spans="1:10" x14ac:dyDescent="0.4">
      <c r="A27" s="2">
        <v>25</v>
      </c>
      <c r="B27" t="s">
        <v>103</v>
      </c>
      <c r="C27" t="s">
        <v>104</v>
      </c>
      <c r="D27" t="s">
        <v>105</v>
      </c>
    </row>
    <row r="28" spans="1:10" hidden="1" x14ac:dyDescent="0.4">
      <c r="A28" s="2">
        <v>26</v>
      </c>
      <c r="B28" t="s">
        <v>106</v>
      </c>
      <c r="C28" t="s">
        <v>107</v>
      </c>
    </row>
    <row r="29" spans="1:10" x14ac:dyDescent="0.4">
      <c r="A29" s="2">
        <v>27</v>
      </c>
      <c r="B29" t="s">
        <v>108</v>
      </c>
      <c r="C29" t="s">
        <v>109</v>
      </c>
      <c r="D29" t="s">
        <v>110</v>
      </c>
    </row>
    <row r="30" spans="1:10" hidden="1" x14ac:dyDescent="0.4">
      <c r="A30" s="2">
        <v>28</v>
      </c>
      <c r="B30" t="s">
        <v>111</v>
      </c>
      <c r="C30" t="s">
        <v>75</v>
      </c>
    </row>
    <row r="31" spans="1:10" x14ac:dyDescent="0.4">
      <c r="A31" s="2">
        <v>29</v>
      </c>
      <c r="B31" s="6" t="s">
        <v>112</v>
      </c>
      <c r="C31" t="s">
        <v>113</v>
      </c>
      <c r="D31" t="s">
        <v>114</v>
      </c>
      <c r="G31" t="s">
        <v>115</v>
      </c>
    </row>
    <row r="32" spans="1:10" x14ac:dyDescent="0.4">
      <c r="A32" s="2">
        <v>30</v>
      </c>
      <c r="B32" s="6" t="s">
        <v>116</v>
      </c>
      <c r="C32" t="s">
        <v>117</v>
      </c>
      <c r="G32" t="s">
        <v>118</v>
      </c>
    </row>
    <row r="33" spans="1:10" x14ac:dyDescent="0.4">
      <c r="A33" s="2">
        <v>31</v>
      </c>
      <c r="B33" s="6" t="s">
        <v>119</v>
      </c>
      <c r="C33" t="s">
        <v>120</v>
      </c>
      <c r="D33" t="s">
        <v>121</v>
      </c>
      <c r="E33" s="1" t="s">
        <v>122</v>
      </c>
      <c r="G33" t="s">
        <v>66</v>
      </c>
    </row>
    <row r="34" spans="1:10" x14ac:dyDescent="0.4">
      <c r="A34" s="2">
        <v>32</v>
      </c>
      <c r="B34" s="6" t="s">
        <v>123</v>
      </c>
      <c r="C34" t="s">
        <v>124</v>
      </c>
      <c r="D34" t="s">
        <v>125</v>
      </c>
      <c r="E34" s="1" t="s">
        <v>126</v>
      </c>
      <c r="G34" t="s">
        <v>66</v>
      </c>
    </row>
    <row r="35" spans="1:10" x14ac:dyDescent="0.4">
      <c r="A35" s="2">
        <v>33</v>
      </c>
      <c r="B35" s="6" t="s">
        <v>127</v>
      </c>
      <c r="C35" t="s">
        <v>80</v>
      </c>
      <c r="D35" t="s">
        <v>128</v>
      </c>
      <c r="E35" t="s">
        <v>129</v>
      </c>
    </row>
    <row r="36" spans="1:10" x14ac:dyDescent="0.4">
      <c r="A36" s="2">
        <v>34</v>
      </c>
      <c r="B36" t="s">
        <v>130</v>
      </c>
      <c r="C36" t="s">
        <v>75</v>
      </c>
      <c r="D36" t="s">
        <v>131</v>
      </c>
      <c r="E36" s="10" t="s">
        <v>132</v>
      </c>
      <c r="G36" t="s">
        <v>133</v>
      </c>
      <c r="H36" t="s">
        <v>134</v>
      </c>
      <c r="I36" t="s">
        <v>93</v>
      </c>
      <c r="J36" t="s">
        <v>94</v>
      </c>
    </row>
    <row r="37" spans="1:10" x14ac:dyDescent="0.4">
      <c r="A37" s="2">
        <v>35</v>
      </c>
      <c r="B37" t="s">
        <v>135</v>
      </c>
      <c r="C37" t="s">
        <v>75</v>
      </c>
      <c r="D37" t="s">
        <v>136</v>
      </c>
      <c r="E37" s="10" t="s">
        <v>137</v>
      </c>
      <c r="G37" t="s">
        <v>138</v>
      </c>
    </row>
    <row r="38" spans="1:10" x14ac:dyDescent="0.4">
      <c r="A38" s="2">
        <v>36</v>
      </c>
      <c r="B38" t="s">
        <v>139</v>
      </c>
      <c r="C38" t="s">
        <v>75</v>
      </c>
    </row>
    <row r="39" spans="1:10" x14ac:dyDescent="0.4">
      <c r="A39" s="2">
        <v>37</v>
      </c>
      <c r="B39" t="s">
        <v>140</v>
      </c>
      <c r="C39" t="s">
        <v>75</v>
      </c>
      <c r="D39" t="s">
        <v>141</v>
      </c>
    </row>
    <row r="40" spans="1:10" x14ac:dyDescent="0.4">
      <c r="A40" s="2">
        <v>38</v>
      </c>
      <c r="B40" t="s">
        <v>140</v>
      </c>
      <c r="C40" t="s">
        <v>142</v>
      </c>
      <c r="D40" t="s">
        <v>143</v>
      </c>
      <c r="E40" s="10" t="s">
        <v>144</v>
      </c>
      <c r="G40" t="s">
        <v>145</v>
      </c>
      <c r="H40" t="s">
        <v>146</v>
      </c>
      <c r="I40" t="s">
        <v>147</v>
      </c>
      <c r="J40" t="s">
        <v>94</v>
      </c>
    </row>
    <row r="41" spans="1:10" x14ac:dyDescent="0.4">
      <c r="A41" s="2">
        <v>39</v>
      </c>
      <c r="B41" t="s">
        <v>148</v>
      </c>
      <c r="C41" t="s">
        <v>75</v>
      </c>
      <c r="D41" t="s">
        <v>149</v>
      </c>
      <c r="E41" s="10" t="s">
        <v>150</v>
      </c>
      <c r="G41" t="s">
        <v>151</v>
      </c>
    </row>
    <row r="42" spans="1:10" x14ac:dyDescent="0.4">
      <c r="A42" s="2">
        <v>40</v>
      </c>
      <c r="B42" t="s">
        <v>152</v>
      </c>
      <c r="C42" t="s">
        <v>80</v>
      </c>
      <c r="D42" s="12">
        <v>1935218071</v>
      </c>
    </row>
    <row r="43" spans="1:10" x14ac:dyDescent="0.4">
      <c r="A43" s="2">
        <v>41</v>
      </c>
      <c r="B43" t="s">
        <v>153</v>
      </c>
      <c r="C43" t="s">
        <v>80</v>
      </c>
      <c r="D43" t="s">
        <v>154</v>
      </c>
      <c r="E43" s="10" t="s">
        <v>155</v>
      </c>
      <c r="G43" t="s">
        <v>151</v>
      </c>
    </row>
    <row r="44" spans="1:10" x14ac:dyDescent="0.4">
      <c r="A44" s="2">
        <v>42</v>
      </c>
      <c r="B44" t="s">
        <v>156</v>
      </c>
      <c r="C44" t="s">
        <v>157</v>
      </c>
    </row>
    <row r="45" spans="1:10" x14ac:dyDescent="0.4">
      <c r="A45" s="2">
        <v>43</v>
      </c>
      <c r="B45" t="s">
        <v>158</v>
      </c>
      <c r="C45" t="s">
        <v>159</v>
      </c>
    </row>
    <row r="46" spans="1:10" x14ac:dyDescent="0.4">
      <c r="A46" s="2">
        <v>44</v>
      </c>
      <c r="B46" t="s">
        <v>160</v>
      </c>
      <c r="C46" t="s">
        <v>161</v>
      </c>
    </row>
    <row r="47" spans="1:10" x14ac:dyDescent="0.4">
      <c r="A47" s="2">
        <v>45</v>
      </c>
      <c r="B47" t="s">
        <v>162</v>
      </c>
      <c r="C47" t="s">
        <v>161</v>
      </c>
    </row>
    <row r="48" spans="1:10" x14ac:dyDescent="0.4">
      <c r="A48" s="2">
        <v>46</v>
      </c>
      <c r="B48" t="s">
        <v>163</v>
      </c>
      <c r="C48" t="s">
        <v>164</v>
      </c>
      <c r="D48" t="s">
        <v>165</v>
      </c>
    </row>
    <row r="49" spans="1:7" x14ac:dyDescent="0.4">
      <c r="A49" s="2">
        <v>47</v>
      </c>
      <c r="B49" t="s">
        <v>163</v>
      </c>
      <c r="C49" t="s">
        <v>166</v>
      </c>
      <c r="D49" t="s">
        <v>167</v>
      </c>
    </row>
    <row r="50" spans="1:7" x14ac:dyDescent="0.4">
      <c r="A50" s="2">
        <v>48</v>
      </c>
      <c r="B50" t="s">
        <v>168</v>
      </c>
      <c r="C50" t="s">
        <v>161</v>
      </c>
      <c r="D50" t="s">
        <v>169</v>
      </c>
    </row>
    <row r="51" spans="1:7" x14ac:dyDescent="0.4">
      <c r="A51" s="2">
        <v>49</v>
      </c>
      <c r="B51" t="s">
        <v>170</v>
      </c>
      <c r="C51" t="s">
        <v>161</v>
      </c>
      <c r="D51" t="s">
        <v>171</v>
      </c>
    </row>
    <row r="52" spans="1:7" x14ac:dyDescent="0.4">
      <c r="A52" s="2">
        <v>50</v>
      </c>
      <c r="B52" t="s">
        <v>172</v>
      </c>
      <c r="C52" t="s">
        <v>161</v>
      </c>
      <c r="D52" t="s">
        <v>173</v>
      </c>
    </row>
    <row r="53" spans="1:7" x14ac:dyDescent="0.4">
      <c r="A53" s="2">
        <v>51</v>
      </c>
      <c r="B53" t="s">
        <v>174</v>
      </c>
      <c r="C53" t="s">
        <v>161</v>
      </c>
      <c r="D53" t="s">
        <v>175</v>
      </c>
    </row>
    <row r="54" spans="1:7" x14ac:dyDescent="0.4">
      <c r="A54" s="2">
        <v>52</v>
      </c>
      <c r="B54" t="s">
        <v>176</v>
      </c>
      <c r="C54" t="s">
        <v>161</v>
      </c>
      <c r="D54" t="s">
        <v>177</v>
      </c>
    </row>
    <row r="55" spans="1:7" x14ac:dyDescent="0.4">
      <c r="A55" s="2">
        <v>53</v>
      </c>
      <c r="B55" t="s">
        <v>178</v>
      </c>
      <c r="C55" t="s">
        <v>179</v>
      </c>
      <c r="D55" t="s">
        <v>180</v>
      </c>
    </row>
    <row r="56" spans="1:7" x14ac:dyDescent="0.4">
      <c r="A56" s="2">
        <v>54</v>
      </c>
      <c r="B56" t="s">
        <v>148</v>
      </c>
      <c r="C56" t="s">
        <v>179</v>
      </c>
      <c r="D56" t="s">
        <v>181</v>
      </c>
    </row>
    <row r="57" spans="1:7" x14ac:dyDescent="0.4">
      <c r="A57" s="2">
        <v>55</v>
      </c>
      <c r="B57" t="s">
        <v>148</v>
      </c>
      <c r="C57" t="s">
        <v>182</v>
      </c>
      <c r="D57" t="s">
        <v>183</v>
      </c>
    </row>
    <row r="58" spans="1:7" x14ac:dyDescent="0.4">
      <c r="A58" s="2">
        <v>56</v>
      </c>
      <c r="B58" t="s">
        <v>184</v>
      </c>
      <c r="C58" t="s">
        <v>185</v>
      </c>
      <c r="D58" t="s">
        <v>186</v>
      </c>
    </row>
    <row r="59" spans="1:7" x14ac:dyDescent="0.4">
      <c r="A59" s="2">
        <v>57</v>
      </c>
      <c r="B59" t="s">
        <v>160</v>
      </c>
      <c r="C59" t="s">
        <v>142</v>
      </c>
      <c r="D59" t="s">
        <v>187</v>
      </c>
    </row>
    <row r="60" spans="1:7" x14ac:dyDescent="0.4">
      <c r="A60" s="2">
        <v>59</v>
      </c>
      <c r="B60" t="s">
        <v>148</v>
      </c>
      <c r="C60" t="s">
        <v>188</v>
      </c>
    </row>
    <row r="61" spans="1:7" x14ac:dyDescent="0.4">
      <c r="A61" s="2">
        <v>60</v>
      </c>
      <c r="B61" t="s">
        <v>148</v>
      </c>
      <c r="C61" t="s">
        <v>189</v>
      </c>
    </row>
    <row r="62" spans="1:7" x14ac:dyDescent="0.4">
      <c r="A62" s="2">
        <v>61</v>
      </c>
      <c r="B62" t="s">
        <v>190</v>
      </c>
      <c r="C62" t="s">
        <v>191</v>
      </c>
    </row>
    <row r="63" spans="1:7" x14ac:dyDescent="0.4">
      <c r="A63" s="2">
        <v>62</v>
      </c>
      <c r="B63" t="s">
        <v>192</v>
      </c>
      <c r="C63" t="s">
        <v>191</v>
      </c>
      <c r="D63" t="s">
        <v>193</v>
      </c>
      <c r="E63" s="10" t="s">
        <v>194</v>
      </c>
      <c r="G63" t="s">
        <v>195</v>
      </c>
    </row>
    <row r="64" spans="1:7" x14ac:dyDescent="0.4">
      <c r="A64" s="2">
        <v>63</v>
      </c>
      <c r="B64" t="s">
        <v>196</v>
      </c>
      <c r="C64" t="s">
        <v>75</v>
      </c>
      <c r="D64" t="s">
        <v>197</v>
      </c>
      <c r="E64" s="10" t="s">
        <v>198</v>
      </c>
      <c r="G64" t="s">
        <v>195</v>
      </c>
    </row>
    <row r="65" spans="1:10" x14ac:dyDescent="0.4">
      <c r="A65" s="2">
        <v>53</v>
      </c>
      <c r="B65" t="s">
        <v>199</v>
      </c>
      <c r="C65" t="s">
        <v>200</v>
      </c>
      <c r="D65" t="s">
        <v>201</v>
      </c>
    </row>
    <row r="66" spans="1:10" x14ac:dyDescent="0.4">
      <c r="A66" s="2">
        <v>54</v>
      </c>
      <c r="B66" t="s">
        <v>202</v>
      </c>
      <c r="C66" t="s">
        <v>179</v>
      </c>
      <c r="D66" t="s">
        <v>203</v>
      </c>
      <c r="G66" t="s">
        <v>204</v>
      </c>
    </row>
    <row r="67" spans="1:10" hidden="1" x14ac:dyDescent="0.4">
      <c r="A67" s="2">
        <v>55</v>
      </c>
      <c r="B67" t="s">
        <v>205</v>
      </c>
      <c r="C67" t="s">
        <v>117</v>
      </c>
    </row>
    <row r="68" spans="1:10" x14ac:dyDescent="0.4">
      <c r="A68" s="2">
        <v>56</v>
      </c>
      <c r="B68" t="s">
        <v>206</v>
      </c>
      <c r="C68" t="s">
        <v>75</v>
      </c>
      <c r="D68" t="s">
        <v>207</v>
      </c>
      <c r="E68" s="10" t="s">
        <v>208</v>
      </c>
      <c r="G68" t="s">
        <v>209</v>
      </c>
    </row>
    <row r="69" spans="1:10" x14ac:dyDescent="0.4">
      <c r="A69" s="2">
        <v>57</v>
      </c>
      <c r="B69" t="s">
        <v>210</v>
      </c>
      <c r="C69" t="s">
        <v>80</v>
      </c>
      <c r="D69" t="s">
        <v>211</v>
      </c>
      <c r="G69" t="s">
        <v>212</v>
      </c>
    </row>
    <row r="70" spans="1:10" x14ac:dyDescent="0.4">
      <c r="A70" s="2">
        <v>58</v>
      </c>
      <c r="B70" t="s">
        <v>213</v>
      </c>
      <c r="C70" t="s">
        <v>214</v>
      </c>
      <c r="D70" t="s">
        <v>215</v>
      </c>
      <c r="E70" s="10" t="s">
        <v>216</v>
      </c>
      <c r="G70" t="s">
        <v>217</v>
      </c>
      <c r="H70" t="s">
        <v>218</v>
      </c>
      <c r="I70" t="s">
        <v>93</v>
      </c>
      <c r="J70" t="s">
        <v>219</v>
      </c>
    </row>
    <row r="71" spans="1:10" x14ac:dyDescent="0.4">
      <c r="A71" s="2">
        <v>59</v>
      </c>
      <c r="B71" t="s">
        <v>220</v>
      </c>
      <c r="C71" t="s">
        <v>159</v>
      </c>
      <c r="D71" t="s">
        <v>221</v>
      </c>
    </row>
    <row r="72" spans="1:10" x14ac:dyDescent="0.4">
      <c r="A72" s="2">
        <v>60</v>
      </c>
      <c r="B72" t="s">
        <v>222</v>
      </c>
      <c r="C72" t="s">
        <v>223</v>
      </c>
      <c r="D72" t="s">
        <v>224</v>
      </c>
    </row>
    <row r="73" spans="1:10" x14ac:dyDescent="0.4">
      <c r="A73" s="2">
        <v>61</v>
      </c>
      <c r="B73" t="s">
        <v>225</v>
      </c>
      <c r="C73" t="s">
        <v>226</v>
      </c>
      <c r="D73" t="s">
        <v>227</v>
      </c>
    </row>
    <row r="74" spans="1:10" ht="32" x14ac:dyDescent="0.4">
      <c r="A74" s="2">
        <v>62</v>
      </c>
      <c r="B74" t="s">
        <v>228</v>
      </c>
      <c r="C74" t="s">
        <v>142</v>
      </c>
      <c r="D74" t="s">
        <v>229</v>
      </c>
      <c r="E74" s="11" t="s">
        <v>230</v>
      </c>
      <c r="G74" t="s">
        <v>231</v>
      </c>
    </row>
  </sheetData>
  <phoneticPr fontId="2" type="noConversion"/>
  <hyperlinks>
    <hyperlink ref="F12" r:id="rId1" xr:uid="{257FB4DD-8ACD-3C42-8CC9-F9ED50D82E8C}"/>
    <hyperlink ref="E33" r:id="rId2" xr:uid="{465C69B1-4AE0-C44A-820F-E3F03512C702}"/>
    <hyperlink ref="E34" r:id="rId3" xr:uid="{41DA4E10-6A28-FA49-90FD-91E0BDCE997F}"/>
    <hyperlink ref="E7" r:id="rId4" xr:uid="{26175C8D-535E-43C0-A447-92219B566D1B}"/>
    <hyperlink ref="E16" r:id="rId5" xr:uid="{3DBD9C56-3E83-410C-AE1E-261582308733}"/>
    <hyperlink ref="E4" r:id="rId6" xr:uid="{8A537656-A3CE-4B89-99F5-2050ED1DC99B}"/>
    <hyperlink ref="E5" r:id="rId7" xr:uid="{61B41781-096C-4249-94D7-6E5475EB4DDE}"/>
    <hyperlink ref="E23" r:id="rId8" xr:uid="{D501B43C-3737-4F50-B6DE-73A23B24742B}"/>
    <hyperlink ref="E26" r:id="rId9" xr:uid="{BA940684-7ACC-4EC8-82B6-B781E493F93A}"/>
    <hyperlink ref="E36" r:id="rId10" xr:uid="{61BF69CE-34D2-4109-9135-F70C031A485C}"/>
    <hyperlink ref="E74" r:id="rId11" xr:uid="{6E118CC2-2A3D-4CCD-AD41-3F4C56C990AA}"/>
    <hyperlink ref="E70" r:id="rId12" xr:uid="{F8563E10-927A-4483-9500-6120851820FD}"/>
    <hyperlink ref="E68" r:id="rId13" xr:uid="{27DECFBC-8AD2-4B83-9609-1FEE84E774C3}"/>
    <hyperlink ref="E37" r:id="rId14" xr:uid="{06BD97A3-6A75-4FCA-B80E-D76747DC8E8D}"/>
    <hyperlink ref="E40" r:id="rId15" xr:uid="{8C781025-3C71-426E-B892-FCCA669AC3FB}"/>
    <hyperlink ref="E41" r:id="rId16" xr:uid="{FD2DECB9-7694-4A58-B6FB-19FE539B2773}"/>
    <hyperlink ref="E43" r:id="rId17" xr:uid="{AB92B4AE-820D-45EE-9D17-A87BCA337262}"/>
    <hyperlink ref="E63" r:id="rId18" xr:uid="{FC6F6D60-6E60-4B0B-A050-6AAA3A053C00}"/>
    <hyperlink ref="E14" r:id="rId19" xr:uid="{DBC0AEF3-4C27-417B-8A97-2E1CCD87256B}"/>
    <hyperlink ref="E64" r:id="rId20" xr:uid="{82796574-CCBF-4598-9B05-DA587718B1A3}"/>
  </hyperlinks>
  <pageMargins left="0.511811024" right="0.511811024" top="0.78740157499999996" bottom="0.78740157499999996" header="0.31496062000000002" footer="0.31496062000000002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DACB-B310-41D3-B9F6-685BED72AEFC}">
  <dimension ref="A1:M166"/>
  <sheetViews>
    <sheetView showGridLines="0" topLeftCell="C1" zoomScale="90" zoomScaleNormal="90" workbookViewId="0">
      <pane ySplit="2" topLeftCell="A7" activePane="bottomLeft" state="frozen"/>
      <selection pane="bottomLeft" activeCell="D129" sqref="D129"/>
    </sheetView>
  </sheetViews>
  <sheetFormatPr defaultColWidth="8.83203125" defaultRowHeight="37" customHeight="1" x14ac:dyDescent="0.4"/>
  <cols>
    <col min="1" max="1" width="6.58203125" style="15" customWidth="1"/>
    <col min="2" max="2" width="45.08203125" style="51" customWidth="1"/>
    <col min="3" max="3" width="33.25" style="51" customWidth="1"/>
    <col min="4" max="4" width="33.83203125" style="17" customWidth="1"/>
    <col min="5" max="5" width="31.08203125" style="58" customWidth="1"/>
    <col min="6" max="6" width="13.08203125" style="17" hidden="1" customWidth="1"/>
    <col min="7" max="7" width="34.33203125" style="51" customWidth="1"/>
    <col min="8" max="8" width="24.08203125" style="49" customWidth="1"/>
    <col min="9" max="9" width="24.08203125" style="19" customWidth="1"/>
    <col min="10" max="10" width="21.5" style="19" customWidth="1"/>
    <col min="11" max="11" width="23.08203125" style="19" customWidth="1"/>
    <col min="12" max="12" width="14.33203125" style="19" customWidth="1"/>
    <col min="13" max="13" width="11.25" style="19" customWidth="1"/>
    <col min="14" max="16384" width="8.83203125" style="14"/>
  </cols>
  <sheetData>
    <row r="1" spans="1:13" ht="38.5" customHeight="1" x14ac:dyDescent="0.4">
      <c r="A1" s="67" t="s">
        <v>736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s="66" customFormat="1" ht="37" customHeight="1" x14ac:dyDescent="0.4">
      <c r="A2" s="65" t="s">
        <v>232</v>
      </c>
      <c r="B2" s="65" t="s">
        <v>233</v>
      </c>
      <c r="C2" s="65" t="s">
        <v>234</v>
      </c>
      <c r="D2" s="65" t="s">
        <v>235</v>
      </c>
      <c r="E2" s="65" t="s">
        <v>236</v>
      </c>
      <c r="F2" s="65" t="s">
        <v>237</v>
      </c>
      <c r="G2" s="65" t="s">
        <v>238</v>
      </c>
      <c r="H2" s="65" t="s">
        <v>239</v>
      </c>
      <c r="I2" s="65" t="s">
        <v>240</v>
      </c>
      <c r="J2" s="65" t="s">
        <v>241</v>
      </c>
      <c r="K2" s="65" t="s">
        <v>242</v>
      </c>
      <c r="L2" s="65" t="s">
        <v>735</v>
      </c>
      <c r="M2" s="65" t="s">
        <v>734</v>
      </c>
    </row>
    <row r="3" spans="1:13" ht="37" customHeight="1" x14ac:dyDescent="0.4">
      <c r="A3" s="16">
        <v>1</v>
      </c>
      <c r="B3" s="49" t="s">
        <v>11</v>
      </c>
      <c r="C3" s="49" t="s">
        <v>12</v>
      </c>
      <c r="D3" s="54" t="s">
        <v>13</v>
      </c>
      <c r="E3" s="60" t="s">
        <v>243</v>
      </c>
      <c r="F3" s="18" t="s">
        <v>244</v>
      </c>
      <c r="G3" s="49" t="s">
        <v>696</v>
      </c>
      <c r="H3" s="26" t="s">
        <v>737</v>
      </c>
      <c r="I3" s="26" t="s">
        <v>737</v>
      </c>
      <c r="J3" s="26" t="s">
        <v>737</v>
      </c>
      <c r="K3" s="26" t="s">
        <v>737</v>
      </c>
      <c r="L3" s="26" t="s">
        <v>737</v>
      </c>
    </row>
    <row r="4" spans="1:13" ht="37" customHeight="1" x14ac:dyDescent="0.4">
      <c r="A4" s="16">
        <v>2</v>
      </c>
      <c r="B4" s="49" t="s">
        <v>245</v>
      </c>
      <c r="C4" s="49" t="s">
        <v>18</v>
      </c>
      <c r="D4" s="54" t="s">
        <v>246</v>
      </c>
      <c r="E4" s="60" t="s">
        <v>20</v>
      </c>
      <c r="F4" s="18" t="s">
        <v>244</v>
      </c>
      <c r="G4" s="51" t="s">
        <v>696</v>
      </c>
      <c r="H4" s="26" t="s">
        <v>737</v>
      </c>
      <c r="I4" s="26" t="s">
        <v>737</v>
      </c>
      <c r="J4" s="26" t="s">
        <v>737</v>
      </c>
      <c r="K4" s="26" t="s">
        <v>737</v>
      </c>
      <c r="L4" s="26" t="s">
        <v>737</v>
      </c>
    </row>
    <row r="5" spans="1:13" ht="37" customHeight="1" x14ac:dyDescent="0.4">
      <c r="A5" s="16">
        <v>3</v>
      </c>
      <c r="B5" s="49" t="s">
        <v>28</v>
      </c>
      <c r="C5" s="49" t="s">
        <v>29</v>
      </c>
      <c r="D5" s="54" t="s">
        <v>30</v>
      </c>
      <c r="E5" s="60" t="s">
        <v>31</v>
      </c>
      <c r="F5" s="18" t="s">
        <v>244</v>
      </c>
      <c r="G5" s="49" t="s">
        <v>696</v>
      </c>
      <c r="H5" s="49" t="s">
        <v>247</v>
      </c>
      <c r="I5" s="19" t="s">
        <v>744</v>
      </c>
      <c r="J5" s="19" t="s">
        <v>94</v>
      </c>
      <c r="K5" s="19" t="s">
        <v>702</v>
      </c>
      <c r="L5" s="26" t="s">
        <v>737</v>
      </c>
    </row>
    <row r="6" spans="1:13" ht="37" customHeight="1" x14ac:dyDescent="0.4">
      <c r="A6" s="16">
        <v>4</v>
      </c>
      <c r="B6" s="49" t="s">
        <v>41</v>
      </c>
      <c r="C6" s="49" t="s">
        <v>42</v>
      </c>
      <c r="D6" s="54" t="s">
        <v>708</v>
      </c>
      <c r="E6" s="59"/>
      <c r="F6" s="18" t="s">
        <v>244</v>
      </c>
      <c r="G6" s="49" t="s">
        <v>697</v>
      </c>
      <c r="H6" s="49" t="s">
        <v>248</v>
      </c>
      <c r="I6" s="19" t="s">
        <v>745</v>
      </c>
      <c r="J6" s="19" t="s">
        <v>249</v>
      </c>
      <c r="K6" s="19" t="s">
        <v>597</v>
      </c>
      <c r="L6" s="26" t="s">
        <v>737</v>
      </c>
    </row>
    <row r="7" spans="1:13" ht="37" customHeight="1" x14ac:dyDescent="0.4">
      <c r="A7" s="16">
        <v>5</v>
      </c>
      <c r="B7" s="49" t="s">
        <v>55</v>
      </c>
      <c r="C7" s="49" t="s">
        <v>56</v>
      </c>
      <c r="D7" s="54" t="s">
        <v>25</v>
      </c>
      <c r="E7" s="59"/>
      <c r="F7" s="18" t="s">
        <v>244</v>
      </c>
      <c r="G7" s="49" t="s">
        <v>698</v>
      </c>
      <c r="H7" s="49" t="s">
        <v>738</v>
      </c>
      <c r="I7" s="26" t="s">
        <v>737</v>
      </c>
      <c r="J7" s="26" t="s">
        <v>737</v>
      </c>
      <c r="K7" s="26" t="s">
        <v>737</v>
      </c>
      <c r="L7" s="26" t="s">
        <v>737</v>
      </c>
    </row>
    <row r="8" spans="1:13" ht="37" customHeight="1" x14ac:dyDescent="0.4">
      <c r="A8" s="16">
        <v>6</v>
      </c>
      <c r="B8" s="49" t="s">
        <v>62</v>
      </c>
      <c r="C8" s="49" t="s">
        <v>63</v>
      </c>
      <c r="D8" s="54" t="s">
        <v>64</v>
      </c>
      <c r="E8" s="60" t="s">
        <v>65</v>
      </c>
      <c r="F8" s="18" t="s">
        <v>244</v>
      </c>
      <c r="G8" s="49" t="s">
        <v>696</v>
      </c>
      <c r="H8" s="49" t="s">
        <v>738</v>
      </c>
      <c r="I8" s="26" t="s">
        <v>737</v>
      </c>
      <c r="J8" s="26" t="s">
        <v>737</v>
      </c>
      <c r="K8" s="26" t="s">
        <v>737</v>
      </c>
      <c r="L8" s="26" t="s">
        <v>737</v>
      </c>
    </row>
    <row r="9" spans="1:13" ht="37" customHeight="1" x14ac:dyDescent="0.4">
      <c r="A9" s="16">
        <v>7</v>
      </c>
      <c r="B9" s="49" t="s">
        <v>71</v>
      </c>
      <c r="C9" s="49"/>
      <c r="D9" s="54" t="s">
        <v>72</v>
      </c>
      <c r="E9" s="60" t="s">
        <v>73</v>
      </c>
      <c r="F9" s="18" t="s">
        <v>244</v>
      </c>
      <c r="G9" s="69" t="s">
        <v>696</v>
      </c>
      <c r="H9" s="26" t="s">
        <v>737</v>
      </c>
      <c r="I9" s="26" t="s">
        <v>737</v>
      </c>
      <c r="J9" s="26" t="s">
        <v>737</v>
      </c>
      <c r="K9" s="26" t="s">
        <v>737</v>
      </c>
      <c r="L9" s="26" t="s">
        <v>737</v>
      </c>
    </row>
    <row r="10" spans="1:13" ht="37" customHeight="1" x14ac:dyDescent="0.4">
      <c r="A10" s="16">
        <v>8</v>
      </c>
      <c r="B10" s="49" t="s">
        <v>250</v>
      </c>
      <c r="C10" s="49" t="s">
        <v>75</v>
      </c>
      <c r="D10" s="54" t="s">
        <v>709</v>
      </c>
      <c r="E10" s="59"/>
      <c r="F10" s="18" t="s">
        <v>244</v>
      </c>
      <c r="G10" s="49" t="s">
        <v>696</v>
      </c>
      <c r="H10" s="26" t="s">
        <v>737</v>
      </c>
      <c r="I10" s="26" t="s">
        <v>737</v>
      </c>
      <c r="J10" s="26" t="s">
        <v>737</v>
      </c>
      <c r="K10" s="26" t="s">
        <v>737</v>
      </c>
      <c r="L10" s="26" t="s">
        <v>737</v>
      </c>
    </row>
    <row r="11" spans="1:13" ht="37" customHeight="1" x14ac:dyDescent="0.4">
      <c r="A11" s="16">
        <v>9</v>
      </c>
      <c r="B11" s="50" t="s">
        <v>251</v>
      </c>
      <c r="C11" s="49" t="s">
        <v>75</v>
      </c>
      <c r="D11" s="54" t="s">
        <v>252</v>
      </c>
      <c r="E11" s="59"/>
      <c r="F11" s="18" t="s">
        <v>244</v>
      </c>
      <c r="G11" s="49" t="s">
        <v>696</v>
      </c>
      <c r="H11" s="26" t="s">
        <v>737</v>
      </c>
      <c r="I11" s="26" t="s">
        <v>737</v>
      </c>
      <c r="J11" s="26" t="s">
        <v>737</v>
      </c>
      <c r="K11" s="26" t="s">
        <v>737</v>
      </c>
      <c r="L11" s="26" t="s">
        <v>737</v>
      </c>
    </row>
    <row r="12" spans="1:13" ht="37" customHeight="1" x14ac:dyDescent="0.4">
      <c r="A12" s="16">
        <v>10</v>
      </c>
      <c r="B12" s="49" t="s">
        <v>88</v>
      </c>
      <c r="C12" s="49" t="s">
        <v>75</v>
      </c>
      <c r="D12" s="54" t="s">
        <v>89</v>
      </c>
      <c r="E12" s="60" t="s">
        <v>90</v>
      </c>
      <c r="F12" s="18" t="s">
        <v>244</v>
      </c>
      <c r="G12" s="51" t="s">
        <v>696</v>
      </c>
      <c r="H12" s="49" t="s">
        <v>253</v>
      </c>
      <c r="I12" s="26" t="s">
        <v>737</v>
      </c>
      <c r="J12" s="19" t="s">
        <v>94</v>
      </c>
      <c r="K12" s="19" t="s">
        <v>702</v>
      </c>
      <c r="L12" s="26" t="s">
        <v>737</v>
      </c>
    </row>
    <row r="13" spans="1:13" ht="37" customHeight="1" x14ac:dyDescent="0.4">
      <c r="A13" s="16">
        <v>11</v>
      </c>
      <c r="B13" s="49" t="s">
        <v>98</v>
      </c>
      <c r="C13" s="49" t="s">
        <v>99</v>
      </c>
      <c r="D13" s="54"/>
      <c r="E13" s="60" t="s">
        <v>100</v>
      </c>
      <c r="F13" s="18" t="s">
        <v>244</v>
      </c>
      <c r="G13" s="49" t="s">
        <v>696</v>
      </c>
      <c r="H13" s="26" t="s">
        <v>737</v>
      </c>
      <c r="I13" s="26" t="s">
        <v>737</v>
      </c>
      <c r="J13" s="26" t="s">
        <v>737</v>
      </c>
      <c r="K13" s="26" t="s">
        <v>737</v>
      </c>
      <c r="L13" s="26" t="s">
        <v>737</v>
      </c>
    </row>
    <row r="14" spans="1:13" ht="37" customHeight="1" x14ac:dyDescent="0.4">
      <c r="A14" s="16">
        <v>12</v>
      </c>
      <c r="B14" s="49" t="s">
        <v>123</v>
      </c>
      <c r="C14" s="49" t="s">
        <v>124</v>
      </c>
      <c r="D14" s="54" t="s">
        <v>125</v>
      </c>
      <c r="E14" s="61" t="s">
        <v>126</v>
      </c>
      <c r="F14" s="18" t="s">
        <v>244</v>
      </c>
      <c r="G14" s="49" t="s">
        <v>696</v>
      </c>
      <c r="H14" s="26" t="s">
        <v>737</v>
      </c>
      <c r="I14" s="26" t="s">
        <v>737</v>
      </c>
      <c r="J14" s="26" t="s">
        <v>737</v>
      </c>
      <c r="K14" s="26" t="s">
        <v>737</v>
      </c>
      <c r="L14" s="26" t="s">
        <v>737</v>
      </c>
    </row>
    <row r="15" spans="1:13" ht="37" customHeight="1" x14ac:dyDescent="0.4">
      <c r="A15" s="16">
        <v>13</v>
      </c>
      <c r="B15" s="49" t="s">
        <v>130</v>
      </c>
      <c r="C15" s="49" t="s">
        <v>75</v>
      </c>
      <c r="D15" s="54" t="s">
        <v>710</v>
      </c>
      <c r="E15" s="60" t="s">
        <v>132</v>
      </c>
      <c r="F15" s="18" t="s">
        <v>244</v>
      </c>
      <c r="G15" s="49" t="s">
        <v>699</v>
      </c>
      <c r="H15" s="49" t="s">
        <v>254</v>
      </c>
      <c r="I15" s="26" t="s">
        <v>737</v>
      </c>
      <c r="J15" s="19" t="s">
        <v>94</v>
      </c>
      <c r="K15" s="19" t="s">
        <v>597</v>
      </c>
      <c r="L15" s="26" t="s">
        <v>737</v>
      </c>
      <c r="M15" s="70" t="s">
        <v>746</v>
      </c>
    </row>
    <row r="16" spans="1:13" ht="37" customHeight="1" x14ac:dyDescent="0.4">
      <c r="A16" s="16">
        <v>14</v>
      </c>
      <c r="B16" s="49" t="s">
        <v>135</v>
      </c>
      <c r="C16" s="49" t="s">
        <v>75</v>
      </c>
      <c r="D16" s="54" t="s">
        <v>136</v>
      </c>
      <c r="E16" s="60" t="s">
        <v>137</v>
      </c>
      <c r="F16" s="18" t="s">
        <v>244</v>
      </c>
      <c r="G16" s="49" t="s">
        <v>700</v>
      </c>
      <c r="H16" s="26" t="s">
        <v>737</v>
      </c>
      <c r="I16" s="26" t="s">
        <v>737</v>
      </c>
      <c r="J16" s="26" t="s">
        <v>737</v>
      </c>
      <c r="K16" s="26" t="s">
        <v>737</v>
      </c>
      <c r="L16" s="26" t="s">
        <v>737</v>
      </c>
    </row>
    <row r="17" spans="1:13" ht="37" customHeight="1" x14ac:dyDescent="0.4">
      <c r="A17" s="16">
        <v>15</v>
      </c>
      <c r="B17" s="49" t="s">
        <v>140</v>
      </c>
      <c r="C17" s="49" t="s">
        <v>142</v>
      </c>
      <c r="D17" s="54" t="s">
        <v>711</v>
      </c>
      <c r="E17" s="60" t="s">
        <v>255</v>
      </c>
      <c r="F17" s="18" t="s">
        <v>244</v>
      </c>
      <c r="G17" s="49" t="s">
        <v>699</v>
      </c>
      <c r="H17" s="49" t="s">
        <v>738</v>
      </c>
      <c r="I17" s="19" t="s">
        <v>256</v>
      </c>
      <c r="J17" s="19" t="s">
        <v>94</v>
      </c>
      <c r="K17" s="19" t="s">
        <v>597</v>
      </c>
      <c r="L17" s="26" t="s">
        <v>737</v>
      </c>
    </row>
    <row r="18" spans="1:13" ht="37" customHeight="1" x14ac:dyDescent="0.4">
      <c r="A18" s="16">
        <v>16</v>
      </c>
      <c r="B18" s="49" t="s">
        <v>148</v>
      </c>
      <c r="C18" s="49" t="s">
        <v>75</v>
      </c>
      <c r="D18" s="54" t="s">
        <v>149</v>
      </c>
      <c r="E18" s="60" t="s">
        <v>150</v>
      </c>
      <c r="F18" s="18" t="s">
        <v>244</v>
      </c>
      <c r="G18" s="49" t="s">
        <v>696</v>
      </c>
      <c r="H18" s="26" t="s">
        <v>737</v>
      </c>
      <c r="I18" s="26" t="s">
        <v>737</v>
      </c>
      <c r="J18" s="26" t="s">
        <v>737</v>
      </c>
      <c r="K18" s="26" t="s">
        <v>737</v>
      </c>
      <c r="L18" s="26" t="s">
        <v>737</v>
      </c>
    </row>
    <row r="19" spans="1:13" ht="37" customHeight="1" x14ac:dyDescent="0.4">
      <c r="A19" s="16">
        <v>17</v>
      </c>
      <c r="B19" s="49" t="s">
        <v>153</v>
      </c>
      <c r="C19" s="49" t="s">
        <v>80</v>
      </c>
      <c r="D19" s="54" t="s">
        <v>154</v>
      </c>
      <c r="E19" s="60" t="s">
        <v>257</v>
      </c>
      <c r="F19" s="18" t="s">
        <v>244</v>
      </c>
      <c r="G19" s="49" t="s">
        <v>696</v>
      </c>
      <c r="H19" s="26" t="s">
        <v>737</v>
      </c>
      <c r="I19" s="26" t="s">
        <v>737</v>
      </c>
      <c r="J19" s="26" t="s">
        <v>737</v>
      </c>
      <c r="K19" s="26" t="s">
        <v>737</v>
      </c>
      <c r="L19" s="26" t="s">
        <v>737</v>
      </c>
    </row>
    <row r="20" spans="1:13" ht="37" customHeight="1" x14ac:dyDescent="0.4">
      <c r="A20" s="16">
        <v>18</v>
      </c>
      <c r="B20" s="49" t="s">
        <v>192</v>
      </c>
      <c r="C20" s="49" t="s">
        <v>191</v>
      </c>
      <c r="D20" s="54" t="s">
        <v>193</v>
      </c>
      <c r="E20" s="60" t="s">
        <v>194</v>
      </c>
      <c r="F20" s="18" t="s">
        <v>244</v>
      </c>
      <c r="G20" s="49" t="s">
        <v>696</v>
      </c>
      <c r="H20" s="26" t="s">
        <v>737</v>
      </c>
      <c r="I20" s="26" t="s">
        <v>737</v>
      </c>
      <c r="J20" s="26" t="s">
        <v>737</v>
      </c>
      <c r="K20" s="26" t="s">
        <v>737</v>
      </c>
      <c r="L20" s="26" t="s">
        <v>737</v>
      </c>
    </row>
    <row r="21" spans="1:13" ht="37" customHeight="1" x14ac:dyDescent="0.4">
      <c r="A21" s="16">
        <v>19</v>
      </c>
      <c r="B21" s="49" t="s">
        <v>196</v>
      </c>
      <c r="C21" s="49" t="s">
        <v>75</v>
      </c>
      <c r="D21" s="54" t="s">
        <v>197</v>
      </c>
      <c r="E21" s="60" t="s">
        <v>198</v>
      </c>
      <c r="F21" s="18" t="s">
        <v>244</v>
      </c>
      <c r="G21" s="49" t="s">
        <v>696</v>
      </c>
      <c r="H21" s="26" t="s">
        <v>737</v>
      </c>
      <c r="I21" s="26" t="s">
        <v>737</v>
      </c>
      <c r="J21" s="26" t="s">
        <v>737</v>
      </c>
      <c r="K21" s="26" t="s">
        <v>737</v>
      </c>
      <c r="L21" s="26" t="s">
        <v>737</v>
      </c>
    </row>
    <row r="22" spans="1:13" ht="37" customHeight="1" x14ac:dyDescent="0.4">
      <c r="A22" s="16">
        <v>20</v>
      </c>
      <c r="B22" s="49" t="s">
        <v>202</v>
      </c>
      <c r="C22" s="49" t="s">
        <v>179</v>
      </c>
      <c r="D22" s="54" t="s">
        <v>203</v>
      </c>
      <c r="E22" s="59"/>
      <c r="F22" s="18" t="s">
        <v>244</v>
      </c>
      <c r="G22" s="49" t="s">
        <v>696</v>
      </c>
      <c r="H22" s="26" t="s">
        <v>737</v>
      </c>
      <c r="I22" s="26" t="s">
        <v>737</v>
      </c>
      <c r="J22" s="26" t="s">
        <v>737</v>
      </c>
      <c r="K22" s="26" t="s">
        <v>737</v>
      </c>
      <c r="L22" s="26" t="s">
        <v>737</v>
      </c>
    </row>
    <row r="23" spans="1:13" ht="37" customHeight="1" x14ac:dyDescent="0.4">
      <c r="A23" s="16">
        <v>21</v>
      </c>
      <c r="B23" s="49" t="s">
        <v>206</v>
      </c>
      <c r="C23" s="49" t="s">
        <v>75</v>
      </c>
      <c r="D23" s="54" t="s">
        <v>207</v>
      </c>
      <c r="E23" s="60" t="s">
        <v>208</v>
      </c>
      <c r="F23" s="18" t="s">
        <v>244</v>
      </c>
      <c r="G23" s="49" t="s">
        <v>696</v>
      </c>
      <c r="H23" s="26" t="s">
        <v>737</v>
      </c>
      <c r="I23" s="26" t="s">
        <v>737</v>
      </c>
      <c r="J23" s="26" t="s">
        <v>737</v>
      </c>
      <c r="K23" s="26" t="s">
        <v>737</v>
      </c>
      <c r="L23" s="26" t="s">
        <v>737</v>
      </c>
    </row>
    <row r="24" spans="1:13" ht="37" customHeight="1" x14ac:dyDescent="0.4">
      <c r="A24" s="16">
        <v>22</v>
      </c>
      <c r="B24" s="49" t="s">
        <v>210</v>
      </c>
      <c r="C24" s="49" t="s">
        <v>80</v>
      </c>
      <c r="D24" s="54" t="s">
        <v>211</v>
      </c>
      <c r="E24" s="59"/>
      <c r="F24" s="18" t="s">
        <v>244</v>
      </c>
      <c r="G24" s="49" t="s">
        <v>697</v>
      </c>
      <c r="H24" s="49" t="s">
        <v>418</v>
      </c>
      <c r="I24" s="26" t="s">
        <v>737</v>
      </c>
      <c r="J24" s="26" t="s">
        <v>737</v>
      </c>
      <c r="K24" s="26" t="s">
        <v>737</v>
      </c>
      <c r="L24" s="26" t="s">
        <v>737</v>
      </c>
    </row>
    <row r="25" spans="1:13" ht="37" customHeight="1" x14ac:dyDescent="0.4">
      <c r="A25" s="16">
        <v>23</v>
      </c>
      <c r="B25" s="49" t="s">
        <v>213</v>
      </c>
      <c r="C25" s="49" t="s">
        <v>214</v>
      </c>
      <c r="D25" s="54" t="s">
        <v>215</v>
      </c>
      <c r="E25" s="60" t="s">
        <v>216</v>
      </c>
      <c r="F25" s="18" t="s">
        <v>244</v>
      </c>
      <c r="G25" s="49" t="s">
        <v>697</v>
      </c>
      <c r="H25" s="49" t="s">
        <v>741</v>
      </c>
      <c r="I25" s="19" t="s">
        <v>258</v>
      </c>
      <c r="J25" s="19" t="s">
        <v>249</v>
      </c>
      <c r="K25" s="19" t="s">
        <v>597</v>
      </c>
      <c r="L25" s="26" t="s">
        <v>737</v>
      </c>
    </row>
    <row r="26" spans="1:13" ht="37" customHeight="1" x14ac:dyDescent="0.4">
      <c r="A26" s="16">
        <v>24</v>
      </c>
      <c r="B26" s="49" t="s">
        <v>228</v>
      </c>
      <c r="C26" s="49" t="s">
        <v>142</v>
      </c>
      <c r="D26" s="54" t="s">
        <v>229</v>
      </c>
      <c r="E26" s="60" t="s">
        <v>259</v>
      </c>
      <c r="F26" s="18" t="s">
        <v>244</v>
      </c>
      <c r="G26" s="49" t="s">
        <v>701</v>
      </c>
      <c r="H26" s="49" t="s">
        <v>418</v>
      </c>
      <c r="I26" s="49" t="s">
        <v>418</v>
      </c>
      <c r="J26" s="49" t="s">
        <v>418</v>
      </c>
      <c r="K26" s="49" t="s">
        <v>418</v>
      </c>
      <c r="L26" s="49" t="s">
        <v>418</v>
      </c>
    </row>
    <row r="27" spans="1:13" ht="37" customHeight="1" x14ac:dyDescent="0.4">
      <c r="A27" s="16">
        <v>25</v>
      </c>
      <c r="B27" s="49" t="s">
        <v>261</v>
      </c>
      <c r="C27" s="49" t="s">
        <v>262</v>
      </c>
      <c r="D27" s="54" t="s">
        <v>263</v>
      </c>
      <c r="E27" s="60" t="s">
        <v>264</v>
      </c>
      <c r="F27" s="18" t="s">
        <v>244</v>
      </c>
      <c r="G27" s="49" t="s">
        <v>696</v>
      </c>
      <c r="H27" s="26" t="s">
        <v>737</v>
      </c>
      <c r="I27" s="26" t="s">
        <v>737</v>
      </c>
      <c r="J27" s="26" t="s">
        <v>737</v>
      </c>
      <c r="K27" s="26" t="s">
        <v>737</v>
      </c>
      <c r="L27" s="26" t="s">
        <v>737</v>
      </c>
    </row>
    <row r="28" spans="1:13" ht="37" customHeight="1" x14ac:dyDescent="0.4">
      <c r="A28" s="16">
        <v>26</v>
      </c>
      <c r="B28" s="49" t="s">
        <v>265</v>
      </c>
      <c r="C28" s="49" t="s">
        <v>266</v>
      </c>
      <c r="D28" s="54" t="s">
        <v>267</v>
      </c>
      <c r="E28" s="60" t="s">
        <v>268</v>
      </c>
      <c r="F28" s="18" t="s">
        <v>244</v>
      </c>
      <c r="G28" s="49" t="s">
        <v>696</v>
      </c>
      <c r="H28" s="49" t="s">
        <v>269</v>
      </c>
      <c r="I28" s="19" t="s">
        <v>258</v>
      </c>
      <c r="J28" s="19" t="s">
        <v>260</v>
      </c>
      <c r="K28" s="19" t="s">
        <v>702</v>
      </c>
      <c r="L28" s="26" t="s">
        <v>737</v>
      </c>
    </row>
    <row r="29" spans="1:13" ht="37" customHeight="1" x14ac:dyDescent="0.4">
      <c r="A29" s="16">
        <v>27</v>
      </c>
      <c r="B29" s="49" t="s">
        <v>270</v>
      </c>
      <c r="C29" s="49" t="s">
        <v>271</v>
      </c>
      <c r="D29" s="54" t="s">
        <v>272</v>
      </c>
      <c r="E29" s="60" t="s">
        <v>273</v>
      </c>
      <c r="F29" s="20" t="s">
        <v>274</v>
      </c>
      <c r="G29" s="49" t="s">
        <v>696</v>
      </c>
      <c r="H29" s="49" t="s">
        <v>738</v>
      </c>
      <c r="I29" s="26" t="s">
        <v>737</v>
      </c>
      <c r="J29" s="19" t="s">
        <v>260</v>
      </c>
      <c r="K29" s="19" t="s">
        <v>702</v>
      </c>
      <c r="L29" s="26" t="s">
        <v>737</v>
      </c>
    </row>
    <row r="30" spans="1:13" ht="37" customHeight="1" x14ac:dyDescent="0.4">
      <c r="A30" s="16">
        <v>28</v>
      </c>
      <c r="B30" s="49" t="s">
        <v>275</v>
      </c>
      <c r="C30" s="49" t="s">
        <v>276</v>
      </c>
      <c r="D30" s="54" t="s">
        <v>277</v>
      </c>
      <c r="E30" s="60" t="s">
        <v>278</v>
      </c>
      <c r="F30" s="20" t="s">
        <v>274</v>
      </c>
      <c r="G30" s="49" t="s">
        <v>696</v>
      </c>
      <c r="H30" s="49" t="s">
        <v>279</v>
      </c>
      <c r="I30" s="26" t="s">
        <v>737</v>
      </c>
      <c r="J30" s="26" t="s">
        <v>737</v>
      </c>
      <c r="K30" s="26" t="s">
        <v>737</v>
      </c>
      <c r="L30" s="26" t="s">
        <v>737</v>
      </c>
    </row>
    <row r="31" spans="1:13" ht="37" customHeight="1" x14ac:dyDescent="0.4">
      <c r="A31" s="16">
        <v>29</v>
      </c>
      <c r="B31" s="49" t="s">
        <v>280</v>
      </c>
      <c r="C31" s="49" t="s">
        <v>281</v>
      </c>
      <c r="D31" s="54" t="s">
        <v>282</v>
      </c>
      <c r="E31" s="59"/>
      <c r="F31" s="20" t="s">
        <v>274</v>
      </c>
      <c r="G31" s="49" t="s">
        <v>703</v>
      </c>
      <c r="H31" s="49" t="s">
        <v>283</v>
      </c>
      <c r="I31" s="26" t="s">
        <v>737</v>
      </c>
      <c r="J31" s="19" t="s">
        <v>260</v>
      </c>
      <c r="K31" s="19" t="s">
        <v>702</v>
      </c>
      <c r="L31" s="64">
        <v>14</v>
      </c>
    </row>
    <row r="32" spans="1:13" ht="37" customHeight="1" x14ac:dyDescent="0.4">
      <c r="A32" s="16">
        <v>30</v>
      </c>
      <c r="B32" s="51" t="s">
        <v>284</v>
      </c>
      <c r="C32" s="51" t="s">
        <v>285</v>
      </c>
      <c r="D32" s="55" t="s">
        <v>712</v>
      </c>
      <c r="F32" s="25" t="s">
        <v>274</v>
      </c>
      <c r="G32" s="51" t="s">
        <v>698</v>
      </c>
      <c r="H32" s="51" t="s">
        <v>286</v>
      </c>
      <c r="I32" s="24" t="s">
        <v>287</v>
      </c>
      <c r="J32" s="24" t="s">
        <v>249</v>
      </c>
      <c r="K32" s="24" t="s">
        <v>597</v>
      </c>
      <c r="L32" s="26" t="s">
        <v>737</v>
      </c>
      <c r="M32" s="24"/>
    </row>
    <row r="33" spans="1:12" ht="37" customHeight="1" x14ac:dyDescent="0.4">
      <c r="A33" s="16">
        <v>31</v>
      </c>
      <c r="B33" s="52" t="s">
        <v>288</v>
      </c>
      <c r="C33" s="52" t="s">
        <v>289</v>
      </c>
      <c r="D33" s="56" t="s">
        <v>290</v>
      </c>
      <c r="E33" s="62" t="s">
        <v>291</v>
      </c>
      <c r="F33" s="21" t="s">
        <v>274</v>
      </c>
      <c r="G33" s="49" t="s">
        <v>696</v>
      </c>
      <c r="H33" s="26" t="s">
        <v>737</v>
      </c>
      <c r="I33" s="26" t="s">
        <v>737</v>
      </c>
      <c r="J33" s="26" t="s">
        <v>737</v>
      </c>
      <c r="K33" s="26" t="s">
        <v>737</v>
      </c>
      <c r="L33" s="26" t="s">
        <v>737</v>
      </c>
    </row>
    <row r="34" spans="1:12" ht="37" customHeight="1" x14ac:dyDescent="0.4">
      <c r="A34" s="16">
        <v>32</v>
      </c>
      <c r="B34" s="52" t="s">
        <v>292</v>
      </c>
      <c r="C34" s="52" t="s">
        <v>293</v>
      </c>
      <c r="D34" s="56" t="s">
        <v>294</v>
      </c>
      <c r="E34" s="62" t="s">
        <v>295</v>
      </c>
      <c r="F34" s="21" t="s">
        <v>274</v>
      </c>
      <c r="G34" s="49" t="s">
        <v>696</v>
      </c>
      <c r="H34" s="26" t="s">
        <v>737</v>
      </c>
      <c r="I34" s="26" t="s">
        <v>737</v>
      </c>
      <c r="J34" s="26" t="s">
        <v>737</v>
      </c>
      <c r="K34" s="26" t="s">
        <v>737</v>
      </c>
      <c r="L34" s="26" t="s">
        <v>737</v>
      </c>
    </row>
    <row r="35" spans="1:12" ht="37" customHeight="1" x14ac:dyDescent="0.4">
      <c r="A35" s="16">
        <v>33</v>
      </c>
      <c r="B35" s="52" t="s">
        <v>296</v>
      </c>
      <c r="C35" s="52" t="s">
        <v>297</v>
      </c>
      <c r="D35" s="56" t="s">
        <v>298</v>
      </c>
      <c r="E35" s="62" t="s">
        <v>299</v>
      </c>
      <c r="F35" s="21" t="s">
        <v>274</v>
      </c>
      <c r="G35" s="49" t="s">
        <v>696</v>
      </c>
      <c r="H35" s="26" t="s">
        <v>737</v>
      </c>
      <c r="I35" s="26" t="s">
        <v>737</v>
      </c>
      <c r="J35" s="26" t="s">
        <v>737</v>
      </c>
      <c r="K35" s="26" t="s">
        <v>737</v>
      </c>
      <c r="L35" s="26" t="s">
        <v>737</v>
      </c>
    </row>
    <row r="36" spans="1:12" ht="37" customHeight="1" x14ac:dyDescent="0.4">
      <c r="A36" s="16">
        <v>34</v>
      </c>
      <c r="B36" s="53" t="s">
        <v>77</v>
      </c>
      <c r="C36" s="52" t="s">
        <v>297</v>
      </c>
      <c r="D36" s="56" t="s">
        <v>78</v>
      </c>
      <c r="E36" s="63" t="s">
        <v>300</v>
      </c>
      <c r="F36" s="21" t="s">
        <v>274</v>
      </c>
      <c r="G36" s="49" t="s">
        <v>696</v>
      </c>
      <c r="H36" s="26" t="s">
        <v>737</v>
      </c>
      <c r="I36" s="26" t="s">
        <v>737</v>
      </c>
      <c r="J36" s="26" t="s">
        <v>737</v>
      </c>
      <c r="K36" s="26" t="s">
        <v>737</v>
      </c>
      <c r="L36" s="26" t="s">
        <v>737</v>
      </c>
    </row>
    <row r="37" spans="1:12" ht="37" customHeight="1" x14ac:dyDescent="0.4">
      <c r="A37" s="16">
        <v>35</v>
      </c>
      <c r="B37" s="52" t="s">
        <v>301</v>
      </c>
      <c r="C37" s="52" t="s">
        <v>297</v>
      </c>
      <c r="D37" s="56" t="s">
        <v>302</v>
      </c>
      <c r="E37" s="63" t="s">
        <v>303</v>
      </c>
      <c r="F37" s="21" t="s">
        <v>274</v>
      </c>
      <c r="G37" s="49" t="s">
        <v>696</v>
      </c>
      <c r="H37" s="26" t="s">
        <v>737</v>
      </c>
      <c r="I37" s="26" t="s">
        <v>737</v>
      </c>
      <c r="J37" s="26" t="s">
        <v>737</v>
      </c>
      <c r="K37" s="26" t="s">
        <v>737</v>
      </c>
      <c r="L37" s="26" t="s">
        <v>737</v>
      </c>
    </row>
    <row r="38" spans="1:12" ht="37" customHeight="1" x14ac:dyDescent="0.4">
      <c r="A38" s="16">
        <v>36</v>
      </c>
      <c r="B38" s="52" t="s">
        <v>304</v>
      </c>
      <c r="C38" s="52" t="s">
        <v>297</v>
      </c>
      <c r="D38" s="56" t="s">
        <v>305</v>
      </c>
      <c r="E38" s="63" t="s">
        <v>306</v>
      </c>
      <c r="F38" s="21" t="s">
        <v>274</v>
      </c>
      <c r="G38" s="49" t="s">
        <v>696</v>
      </c>
      <c r="H38" s="26" t="s">
        <v>737</v>
      </c>
      <c r="I38" s="26" t="s">
        <v>737</v>
      </c>
      <c r="J38" s="26" t="s">
        <v>737</v>
      </c>
      <c r="K38" s="26" t="s">
        <v>737</v>
      </c>
      <c r="L38" s="26" t="s">
        <v>737</v>
      </c>
    </row>
    <row r="39" spans="1:12" ht="37" customHeight="1" x14ac:dyDescent="0.4">
      <c r="A39" s="16">
        <v>37</v>
      </c>
      <c r="B39" s="52" t="s">
        <v>307</v>
      </c>
      <c r="C39" s="52" t="s">
        <v>297</v>
      </c>
      <c r="D39" s="56" t="s">
        <v>308</v>
      </c>
      <c r="E39" s="62" t="s">
        <v>309</v>
      </c>
      <c r="F39" s="21" t="s">
        <v>274</v>
      </c>
      <c r="G39" s="49" t="s">
        <v>696</v>
      </c>
      <c r="H39" s="26" t="s">
        <v>737</v>
      </c>
      <c r="I39" s="26" t="s">
        <v>737</v>
      </c>
      <c r="J39" s="26" t="s">
        <v>737</v>
      </c>
      <c r="K39" s="26" t="s">
        <v>737</v>
      </c>
      <c r="L39" s="26" t="s">
        <v>737</v>
      </c>
    </row>
    <row r="40" spans="1:12" ht="37" customHeight="1" x14ac:dyDescent="0.4">
      <c r="A40" s="16">
        <v>38</v>
      </c>
      <c r="B40" s="52" t="s">
        <v>310</v>
      </c>
      <c r="C40" s="52" t="s">
        <v>297</v>
      </c>
      <c r="D40" s="56" t="s">
        <v>311</v>
      </c>
      <c r="E40" s="62" t="s">
        <v>312</v>
      </c>
      <c r="F40" s="21" t="s">
        <v>274</v>
      </c>
      <c r="G40" s="49" t="s">
        <v>696</v>
      </c>
      <c r="H40" s="26" t="s">
        <v>737</v>
      </c>
      <c r="I40" s="26" t="s">
        <v>737</v>
      </c>
      <c r="J40" s="26" t="s">
        <v>737</v>
      </c>
      <c r="K40" s="26" t="s">
        <v>737</v>
      </c>
      <c r="L40" s="26" t="s">
        <v>737</v>
      </c>
    </row>
    <row r="41" spans="1:12" ht="37" customHeight="1" x14ac:dyDescent="0.4">
      <c r="A41" s="16">
        <v>39</v>
      </c>
      <c r="B41" s="52" t="s">
        <v>313</v>
      </c>
      <c r="C41" s="52" t="s">
        <v>297</v>
      </c>
      <c r="D41" s="56" t="s">
        <v>314</v>
      </c>
      <c r="E41" s="62" t="s">
        <v>315</v>
      </c>
      <c r="F41" s="21" t="s">
        <v>274</v>
      </c>
      <c r="G41" s="49" t="s">
        <v>696</v>
      </c>
      <c r="H41" s="26" t="s">
        <v>737</v>
      </c>
      <c r="I41" s="26" t="s">
        <v>737</v>
      </c>
      <c r="J41" s="26" t="s">
        <v>737</v>
      </c>
      <c r="K41" s="26" t="s">
        <v>737</v>
      </c>
      <c r="L41" s="26" t="s">
        <v>737</v>
      </c>
    </row>
    <row r="42" spans="1:12" ht="37" customHeight="1" x14ac:dyDescent="0.4">
      <c r="A42" s="16">
        <v>40</v>
      </c>
      <c r="B42" s="52" t="s">
        <v>316</v>
      </c>
      <c r="C42" s="52" t="s">
        <v>317</v>
      </c>
      <c r="D42" s="56" t="s">
        <v>318</v>
      </c>
      <c r="E42" s="63" t="s">
        <v>319</v>
      </c>
      <c r="F42" s="21" t="s">
        <v>274</v>
      </c>
      <c r="G42" s="49" t="s">
        <v>696</v>
      </c>
      <c r="H42" s="26" t="s">
        <v>737</v>
      </c>
      <c r="I42" s="26" t="s">
        <v>737</v>
      </c>
      <c r="J42" s="26" t="s">
        <v>737</v>
      </c>
      <c r="K42" s="26" t="s">
        <v>737</v>
      </c>
      <c r="L42" s="26" t="s">
        <v>737</v>
      </c>
    </row>
    <row r="43" spans="1:12" ht="37" customHeight="1" x14ac:dyDescent="0.4">
      <c r="A43" s="16">
        <v>41</v>
      </c>
      <c r="B43" s="52" t="s">
        <v>320</v>
      </c>
      <c r="C43" s="52" t="s">
        <v>321</v>
      </c>
      <c r="D43" s="56" t="s">
        <v>322</v>
      </c>
      <c r="E43" s="63" t="s">
        <v>323</v>
      </c>
      <c r="F43" s="21" t="s">
        <v>274</v>
      </c>
      <c r="G43" s="49" t="s">
        <v>696</v>
      </c>
      <c r="H43" s="26" t="s">
        <v>737</v>
      </c>
      <c r="I43" s="26" t="s">
        <v>737</v>
      </c>
      <c r="J43" s="26" t="s">
        <v>737</v>
      </c>
      <c r="K43" s="26" t="s">
        <v>737</v>
      </c>
      <c r="L43" s="26" t="s">
        <v>737</v>
      </c>
    </row>
    <row r="44" spans="1:12" ht="37" customHeight="1" x14ac:dyDescent="0.4">
      <c r="A44" s="16">
        <v>42</v>
      </c>
      <c r="B44" s="52" t="s">
        <v>324</v>
      </c>
      <c r="C44" s="52" t="s">
        <v>325</v>
      </c>
      <c r="D44" s="56" t="s">
        <v>326</v>
      </c>
      <c r="E44" s="63" t="s">
        <v>327</v>
      </c>
      <c r="F44" s="21" t="s">
        <v>274</v>
      </c>
      <c r="G44" s="49" t="s">
        <v>696</v>
      </c>
      <c r="H44" s="26" t="s">
        <v>737</v>
      </c>
      <c r="I44" s="26" t="s">
        <v>737</v>
      </c>
      <c r="J44" s="26" t="s">
        <v>737</v>
      </c>
      <c r="K44" s="26" t="s">
        <v>737</v>
      </c>
      <c r="L44" s="26" t="s">
        <v>737</v>
      </c>
    </row>
    <row r="45" spans="1:12" ht="37" customHeight="1" x14ac:dyDescent="0.4">
      <c r="A45" s="16">
        <v>43</v>
      </c>
      <c r="B45" s="52" t="s">
        <v>328</v>
      </c>
      <c r="C45" s="52" t="s">
        <v>325</v>
      </c>
      <c r="D45" s="56" t="s">
        <v>329</v>
      </c>
      <c r="E45" s="63" t="s">
        <v>330</v>
      </c>
      <c r="F45" s="21" t="s">
        <v>274</v>
      </c>
      <c r="G45" s="49" t="s">
        <v>696</v>
      </c>
      <c r="H45" s="26" t="s">
        <v>737</v>
      </c>
      <c r="I45" s="26" t="s">
        <v>737</v>
      </c>
      <c r="J45" s="26" t="s">
        <v>737</v>
      </c>
      <c r="K45" s="26" t="s">
        <v>737</v>
      </c>
      <c r="L45" s="26" t="s">
        <v>737</v>
      </c>
    </row>
    <row r="46" spans="1:12" ht="37" customHeight="1" x14ac:dyDescent="0.4">
      <c r="A46" s="16">
        <v>44</v>
      </c>
      <c r="B46" s="52" t="s">
        <v>331</v>
      </c>
      <c r="C46" s="52" t="s">
        <v>325</v>
      </c>
      <c r="D46" s="56" t="s">
        <v>332</v>
      </c>
      <c r="E46" s="62" t="s">
        <v>333</v>
      </c>
      <c r="F46" s="21" t="s">
        <v>274</v>
      </c>
      <c r="G46" s="49" t="s">
        <v>696</v>
      </c>
      <c r="H46" s="26" t="s">
        <v>737</v>
      </c>
      <c r="I46" s="26" t="s">
        <v>737</v>
      </c>
      <c r="J46" s="26" t="s">
        <v>737</v>
      </c>
      <c r="K46" s="26" t="s">
        <v>737</v>
      </c>
      <c r="L46" s="26" t="s">
        <v>737</v>
      </c>
    </row>
    <row r="47" spans="1:12" ht="37" customHeight="1" x14ac:dyDescent="0.4">
      <c r="A47" s="16">
        <v>45</v>
      </c>
      <c r="B47" s="52" t="s">
        <v>334</v>
      </c>
      <c r="C47" s="52" t="s">
        <v>321</v>
      </c>
      <c r="D47" s="56" t="s">
        <v>713</v>
      </c>
      <c r="E47" s="63" t="s">
        <v>335</v>
      </c>
      <c r="F47" s="21" t="s">
        <v>274</v>
      </c>
      <c r="G47" s="49" t="s">
        <v>696</v>
      </c>
      <c r="H47" s="26" t="s">
        <v>737</v>
      </c>
      <c r="I47" s="26" t="s">
        <v>737</v>
      </c>
      <c r="J47" s="26" t="s">
        <v>737</v>
      </c>
      <c r="K47" s="26" t="s">
        <v>737</v>
      </c>
      <c r="L47" s="26" t="s">
        <v>737</v>
      </c>
    </row>
    <row r="48" spans="1:12" ht="37" customHeight="1" x14ac:dyDescent="0.4">
      <c r="A48" s="16">
        <v>46</v>
      </c>
      <c r="B48" s="52" t="s">
        <v>336</v>
      </c>
      <c r="C48" s="52" t="s">
        <v>337</v>
      </c>
      <c r="D48" s="56" t="s">
        <v>338</v>
      </c>
      <c r="E48" s="62" t="s">
        <v>339</v>
      </c>
      <c r="F48" s="21" t="s">
        <v>274</v>
      </c>
      <c r="G48" s="49" t="s">
        <v>696</v>
      </c>
      <c r="H48" s="26" t="s">
        <v>737</v>
      </c>
      <c r="I48" s="26" t="s">
        <v>737</v>
      </c>
      <c r="J48" s="26" t="s">
        <v>737</v>
      </c>
      <c r="K48" s="26" t="s">
        <v>737</v>
      </c>
      <c r="L48" s="26" t="s">
        <v>737</v>
      </c>
    </row>
    <row r="49" spans="1:12" ht="37" customHeight="1" x14ac:dyDescent="0.4">
      <c r="A49" s="16">
        <v>47</v>
      </c>
      <c r="B49" s="52" t="s">
        <v>340</v>
      </c>
      <c r="C49" s="52" t="s">
        <v>337</v>
      </c>
      <c r="D49" s="56" t="s">
        <v>341</v>
      </c>
      <c r="E49" s="63" t="s">
        <v>342</v>
      </c>
      <c r="F49" s="21" t="s">
        <v>274</v>
      </c>
      <c r="G49" s="49" t="s">
        <v>696</v>
      </c>
      <c r="H49" s="26" t="s">
        <v>737</v>
      </c>
      <c r="I49" s="26" t="s">
        <v>737</v>
      </c>
      <c r="J49" s="26" t="s">
        <v>737</v>
      </c>
      <c r="K49" s="26" t="s">
        <v>737</v>
      </c>
      <c r="L49" s="26" t="s">
        <v>737</v>
      </c>
    </row>
    <row r="50" spans="1:12" ht="37" customHeight="1" x14ac:dyDescent="0.4">
      <c r="A50" s="16">
        <v>48</v>
      </c>
      <c r="B50" s="52" t="s">
        <v>343</v>
      </c>
      <c r="C50" s="52" t="s">
        <v>321</v>
      </c>
      <c r="D50" s="56" t="s">
        <v>344</v>
      </c>
      <c r="E50" s="63" t="s">
        <v>345</v>
      </c>
      <c r="F50" s="21" t="s">
        <v>274</v>
      </c>
      <c r="G50" s="49" t="s">
        <v>696</v>
      </c>
      <c r="H50" s="26" t="s">
        <v>737</v>
      </c>
      <c r="I50" s="26" t="s">
        <v>737</v>
      </c>
      <c r="J50" s="26" t="s">
        <v>737</v>
      </c>
      <c r="K50" s="26" t="s">
        <v>737</v>
      </c>
      <c r="L50" s="26" t="s">
        <v>737</v>
      </c>
    </row>
    <row r="51" spans="1:12" ht="37" customHeight="1" x14ac:dyDescent="0.4">
      <c r="A51" s="16">
        <v>49</v>
      </c>
      <c r="B51" s="52" t="s">
        <v>346</v>
      </c>
      <c r="C51" s="52" t="s">
        <v>347</v>
      </c>
      <c r="D51" s="56" t="s">
        <v>348</v>
      </c>
      <c r="E51" s="63" t="s">
        <v>349</v>
      </c>
      <c r="F51" s="21" t="s">
        <v>274</v>
      </c>
      <c r="G51" s="49" t="s">
        <v>696</v>
      </c>
      <c r="H51" s="26" t="s">
        <v>737</v>
      </c>
      <c r="I51" s="26" t="s">
        <v>737</v>
      </c>
      <c r="J51" s="26" t="s">
        <v>737</v>
      </c>
      <c r="K51" s="26" t="s">
        <v>737</v>
      </c>
      <c r="L51" s="26" t="s">
        <v>737</v>
      </c>
    </row>
    <row r="52" spans="1:12" ht="37" customHeight="1" x14ac:dyDescent="0.4">
      <c r="A52" s="16">
        <v>50</v>
      </c>
      <c r="B52" s="52" t="s">
        <v>350</v>
      </c>
      <c r="C52" s="52" t="s">
        <v>351</v>
      </c>
      <c r="D52" s="56" t="s">
        <v>352</v>
      </c>
      <c r="E52" s="63" t="s">
        <v>353</v>
      </c>
      <c r="F52" s="21" t="s">
        <v>274</v>
      </c>
      <c r="G52" s="49" t="s">
        <v>696</v>
      </c>
      <c r="H52" s="26" t="s">
        <v>737</v>
      </c>
      <c r="I52" s="26" t="s">
        <v>737</v>
      </c>
      <c r="J52" s="26" t="s">
        <v>737</v>
      </c>
      <c r="K52" s="26" t="s">
        <v>737</v>
      </c>
      <c r="L52" s="26" t="s">
        <v>737</v>
      </c>
    </row>
    <row r="53" spans="1:12" ht="37" customHeight="1" x14ac:dyDescent="0.4">
      <c r="A53" s="16">
        <v>51</v>
      </c>
      <c r="B53" s="52" t="s">
        <v>354</v>
      </c>
      <c r="C53" s="52" t="s">
        <v>355</v>
      </c>
      <c r="D53" s="56" t="s">
        <v>356</v>
      </c>
      <c r="E53" s="63" t="s">
        <v>357</v>
      </c>
      <c r="F53" s="21" t="s">
        <v>274</v>
      </c>
      <c r="G53" s="49" t="s">
        <v>696</v>
      </c>
      <c r="H53" s="26" t="s">
        <v>737</v>
      </c>
      <c r="I53" s="26" t="s">
        <v>737</v>
      </c>
      <c r="J53" s="26" t="s">
        <v>737</v>
      </c>
      <c r="K53" s="26" t="s">
        <v>737</v>
      </c>
      <c r="L53" s="26" t="s">
        <v>737</v>
      </c>
    </row>
    <row r="54" spans="1:12" ht="37" customHeight="1" x14ac:dyDescent="0.4">
      <c r="A54" s="16">
        <v>52</v>
      </c>
      <c r="B54" s="52" t="s">
        <v>358</v>
      </c>
      <c r="C54" s="52" t="s">
        <v>347</v>
      </c>
      <c r="D54" s="56" t="s">
        <v>348</v>
      </c>
      <c r="E54" s="63" t="s">
        <v>359</v>
      </c>
      <c r="F54" s="21" t="s">
        <v>274</v>
      </c>
      <c r="G54" s="49" t="s">
        <v>696</v>
      </c>
      <c r="H54" s="26" t="s">
        <v>737</v>
      </c>
      <c r="I54" s="26" t="s">
        <v>737</v>
      </c>
      <c r="J54" s="26" t="s">
        <v>737</v>
      </c>
      <c r="K54" s="26" t="s">
        <v>737</v>
      </c>
      <c r="L54" s="26" t="s">
        <v>737</v>
      </c>
    </row>
    <row r="55" spans="1:12" ht="37" customHeight="1" x14ac:dyDescent="0.4">
      <c r="A55" s="16">
        <v>53</v>
      </c>
      <c r="B55" s="52" t="s">
        <v>360</v>
      </c>
      <c r="C55" s="52" t="s">
        <v>347</v>
      </c>
      <c r="D55" s="56" t="s">
        <v>361</v>
      </c>
      <c r="E55" s="63" t="s">
        <v>362</v>
      </c>
      <c r="F55" s="21" t="s">
        <v>274</v>
      </c>
      <c r="G55" s="49" t="s">
        <v>696</v>
      </c>
      <c r="H55" s="26" t="s">
        <v>737</v>
      </c>
      <c r="I55" s="26" t="s">
        <v>737</v>
      </c>
      <c r="J55" s="26" t="s">
        <v>737</v>
      </c>
      <c r="K55" s="26" t="s">
        <v>737</v>
      </c>
      <c r="L55" s="26" t="s">
        <v>737</v>
      </c>
    </row>
    <row r="56" spans="1:12" ht="37" customHeight="1" x14ac:dyDescent="0.4">
      <c r="A56" s="16">
        <v>54</v>
      </c>
      <c r="B56" s="52" t="s">
        <v>363</v>
      </c>
      <c r="C56" s="52" t="s">
        <v>364</v>
      </c>
      <c r="D56" s="56" t="s">
        <v>365</v>
      </c>
      <c r="E56" s="63" t="s">
        <v>366</v>
      </c>
      <c r="F56" s="21" t="s">
        <v>274</v>
      </c>
      <c r="G56" s="49" t="s">
        <v>696</v>
      </c>
      <c r="H56" s="26" t="s">
        <v>737</v>
      </c>
      <c r="I56" s="26" t="s">
        <v>737</v>
      </c>
      <c r="J56" s="26" t="s">
        <v>737</v>
      </c>
      <c r="K56" s="26" t="s">
        <v>737</v>
      </c>
      <c r="L56" s="26" t="s">
        <v>737</v>
      </c>
    </row>
    <row r="57" spans="1:12" ht="37" customHeight="1" x14ac:dyDescent="0.4">
      <c r="A57" s="16">
        <v>55</v>
      </c>
      <c r="B57" s="52" t="s">
        <v>367</v>
      </c>
      <c r="C57" s="52" t="s">
        <v>368</v>
      </c>
      <c r="D57" s="56" t="s">
        <v>714</v>
      </c>
      <c r="E57" s="62" t="s">
        <v>369</v>
      </c>
      <c r="F57" s="21" t="s">
        <v>274</v>
      </c>
      <c r="G57" s="49" t="s">
        <v>696</v>
      </c>
      <c r="H57" s="49" t="s">
        <v>738</v>
      </c>
      <c r="I57" s="26" t="s">
        <v>737</v>
      </c>
      <c r="J57" s="19" t="s">
        <v>260</v>
      </c>
      <c r="K57" s="19" t="s">
        <v>260</v>
      </c>
      <c r="L57" s="26" t="s">
        <v>737</v>
      </c>
    </row>
    <row r="58" spans="1:12" ht="37" customHeight="1" x14ac:dyDescent="0.4">
      <c r="A58" s="16">
        <v>56</v>
      </c>
      <c r="B58" s="52" t="s">
        <v>370</v>
      </c>
      <c r="C58" s="52" t="s">
        <v>371</v>
      </c>
      <c r="D58" s="56" t="s">
        <v>372</v>
      </c>
      <c r="E58" s="63" t="s">
        <v>373</v>
      </c>
      <c r="F58" s="21" t="s">
        <v>274</v>
      </c>
      <c r="G58" s="49" t="s">
        <v>696</v>
      </c>
      <c r="H58" s="26" t="s">
        <v>737</v>
      </c>
      <c r="I58" s="26" t="s">
        <v>737</v>
      </c>
      <c r="J58" s="26" t="s">
        <v>737</v>
      </c>
      <c r="K58" s="26" t="s">
        <v>737</v>
      </c>
      <c r="L58" s="26" t="s">
        <v>737</v>
      </c>
    </row>
    <row r="59" spans="1:12" ht="37" customHeight="1" x14ac:dyDescent="0.4">
      <c r="A59" s="16">
        <v>57</v>
      </c>
      <c r="B59" s="52" t="s">
        <v>374</v>
      </c>
      <c r="C59" s="52" t="s">
        <v>375</v>
      </c>
      <c r="D59" s="56" t="s">
        <v>376</v>
      </c>
      <c r="E59" s="62" t="s">
        <v>377</v>
      </c>
      <c r="F59" s="21" t="s">
        <v>274</v>
      </c>
      <c r="G59" s="49" t="s">
        <v>696</v>
      </c>
      <c r="H59" s="49" t="s">
        <v>742</v>
      </c>
      <c r="I59" s="26" t="s">
        <v>737</v>
      </c>
      <c r="J59" s="26" t="s">
        <v>737</v>
      </c>
      <c r="K59" s="26" t="s">
        <v>737</v>
      </c>
      <c r="L59" s="26" t="s">
        <v>737</v>
      </c>
    </row>
    <row r="60" spans="1:12" ht="37" customHeight="1" x14ac:dyDescent="0.4">
      <c r="A60" s="16">
        <v>58</v>
      </c>
      <c r="B60" s="52" t="s">
        <v>378</v>
      </c>
      <c r="C60" s="52" t="s">
        <v>379</v>
      </c>
      <c r="D60" s="56" t="s">
        <v>78</v>
      </c>
      <c r="E60" s="62" t="s">
        <v>380</v>
      </c>
      <c r="F60" s="21" t="s">
        <v>274</v>
      </c>
      <c r="G60" s="49" t="s">
        <v>696</v>
      </c>
      <c r="H60" s="26" t="s">
        <v>737</v>
      </c>
      <c r="I60" s="26" t="s">
        <v>737</v>
      </c>
      <c r="J60" s="26" t="s">
        <v>737</v>
      </c>
      <c r="K60" s="26" t="s">
        <v>737</v>
      </c>
      <c r="L60" s="26" t="s">
        <v>737</v>
      </c>
    </row>
    <row r="61" spans="1:12" ht="37" customHeight="1" x14ac:dyDescent="0.4">
      <c r="A61" s="16">
        <v>59</v>
      </c>
      <c r="B61" s="52" t="s">
        <v>381</v>
      </c>
      <c r="C61" s="52" t="s">
        <v>297</v>
      </c>
      <c r="D61" s="56" t="s">
        <v>382</v>
      </c>
      <c r="E61" s="59"/>
      <c r="F61" s="21" t="s">
        <v>274</v>
      </c>
      <c r="G61" s="49" t="s">
        <v>704</v>
      </c>
      <c r="H61" s="26" t="s">
        <v>418</v>
      </c>
      <c r="I61" s="26" t="s">
        <v>737</v>
      </c>
      <c r="J61" s="26" t="s">
        <v>737</v>
      </c>
      <c r="K61" s="26" t="s">
        <v>737</v>
      </c>
      <c r="L61" s="26" t="s">
        <v>737</v>
      </c>
    </row>
    <row r="62" spans="1:12" ht="37" customHeight="1" x14ac:dyDescent="0.4">
      <c r="A62" s="16">
        <v>60</v>
      </c>
      <c r="B62" s="52" t="s">
        <v>383</v>
      </c>
      <c r="C62" s="52" t="s">
        <v>297</v>
      </c>
      <c r="D62" s="56" t="s">
        <v>715</v>
      </c>
      <c r="E62" s="62" t="s">
        <v>384</v>
      </c>
      <c r="F62" s="21" t="s">
        <v>274</v>
      </c>
      <c r="G62" s="49" t="s">
        <v>696</v>
      </c>
      <c r="H62" s="26" t="s">
        <v>737</v>
      </c>
      <c r="I62" s="26" t="s">
        <v>737</v>
      </c>
      <c r="J62" s="26" t="s">
        <v>737</v>
      </c>
      <c r="K62" s="26" t="s">
        <v>737</v>
      </c>
      <c r="L62" s="26" t="s">
        <v>737</v>
      </c>
    </row>
    <row r="63" spans="1:12" ht="37" customHeight="1" x14ac:dyDescent="0.4">
      <c r="A63" s="16">
        <v>61</v>
      </c>
      <c r="B63" s="52" t="s">
        <v>385</v>
      </c>
      <c r="C63" s="52" t="s">
        <v>386</v>
      </c>
      <c r="D63" s="56" t="s">
        <v>305</v>
      </c>
      <c r="E63" s="62" t="s">
        <v>387</v>
      </c>
      <c r="F63" s="21" t="s">
        <v>274</v>
      </c>
      <c r="G63" s="49" t="s">
        <v>696</v>
      </c>
      <c r="H63" s="26" t="s">
        <v>737</v>
      </c>
      <c r="I63" s="26" t="s">
        <v>737</v>
      </c>
      <c r="J63" s="26" t="s">
        <v>737</v>
      </c>
      <c r="K63" s="26" t="s">
        <v>737</v>
      </c>
      <c r="L63" s="26" t="s">
        <v>737</v>
      </c>
    </row>
    <row r="64" spans="1:12" ht="37" customHeight="1" x14ac:dyDescent="0.4">
      <c r="A64" s="16">
        <v>62</v>
      </c>
      <c r="B64" s="52" t="s">
        <v>388</v>
      </c>
      <c r="C64" s="52" t="s">
        <v>297</v>
      </c>
      <c r="D64" s="56" t="s">
        <v>389</v>
      </c>
      <c r="E64" s="62" t="s">
        <v>390</v>
      </c>
      <c r="F64" s="21" t="s">
        <v>274</v>
      </c>
      <c r="G64" s="49" t="s">
        <v>696</v>
      </c>
      <c r="H64" s="26" t="s">
        <v>737</v>
      </c>
      <c r="I64" s="26" t="s">
        <v>737</v>
      </c>
      <c r="J64" s="26" t="s">
        <v>737</v>
      </c>
      <c r="K64" s="26" t="s">
        <v>737</v>
      </c>
      <c r="L64" s="26" t="s">
        <v>737</v>
      </c>
    </row>
    <row r="65" spans="1:13" ht="37" customHeight="1" x14ac:dyDescent="0.4">
      <c r="A65" s="16">
        <v>63</v>
      </c>
      <c r="B65" s="52" t="s">
        <v>391</v>
      </c>
      <c r="C65" s="52" t="s">
        <v>347</v>
      </c>
      <c r="D65" s="56" t="s">
        <v>392</v>
      </c>
      <c r="E65" s="62" t="s">
        <v>393</v>
      </c>
      <c r="F65" s="21" t="s">
        <v>274</v>
      </c>
      <c r="G65" s="49" t="s">
        <v>696</v>
      </c>
      <c r="H65" s="26" t="s">
        <v>737</v>
      </c>
      <c r="I65" s="26" t="s">
        <v>737</v>
      </c>
      <c r="J65" s="26" t="s">
        <v>737</v>
      </c>
      <c r="K65" s="26" t="s">
        <v>737</v>
      </c>
      <c r="L65" s="26" t="s">
        <v>737</v>
      </c>
    </row>
    <row r="66" spans="1:13" ht="37" customHeight="1" x14ac:dyDescent="0.4">
      <c r="A66" s="16">
        <v>64</v>
      </c>
      <c r="B66" s="52" t="s">
        <v>394</v>
      </c>
      <c r="C66" s="52" t="s">
        <v>395</v>
      </c>
      <c r="D66" s="57" t="s">
        <v>396</v>
      </c>
      <c r="E66" s="59"/>
      <c r="F66" s="21" t="s">
        <v>274</v>
      </c>
      <c r="G66" s="49" t="s">
        <v>696</v>
      </c>
      <c r="H66" s="26" t="s">
        <v>737</v>
      </c>
      <c r="I66" s="26" t="s">
        <v>737</v>
      </c>
      <c r="J66" s="26" t="s">
        <v>737</v>
      </c>
      <c r="K66" s="26" t="s">
        <v>737</v>
      </c>
      <c r="L66" s="26" t="s">
        <v>737</v>
      </c>
    </row>
    <row r="67" spans="1:13" ht="37" customHeight="1" x14ac:dyDescent="0.4">
      <c r="A67" s="16">
        <v>65</v>
      </c>
      <c r="B67" s="52" t="s">
        <v>397</v>
      </c>
      <c r="C67" s="52" t="s">
        <v>398</v>
      </c>
      <c r="D67" s="56" t="s">
        <v>399</v>
      </c>
      <c r="E67" s="62" t="s">
        <v>400</v>
      </c>
      <c r="F67" s="21" t="s">
        <v>274</v>
      </c>
      <c r="G67" s="49" t="s">
        <v>696</v>
      </c>
      <c r="H67" s="26" t="s">
        <v>737</v>
      </c>
      <c r="I67" s="26" t="s">
        <v>737</v>
      </c>
      <c r="J67" s="26" t="s">
        <v>737</v>
      </c>
      <c r="K67" s="26" t="s">
        <v>737</v>
      </c>
      <c r="L67" s="26" t="s">
        <v>737</v>
      </c>
    </row>
    <row r="68" spans="1:13" ht="37" customHeight="1" x14ac:dyDescent="0.4">
      <c r="A68" s="16">
        <v>66</v>
      </c>
      <c r="B68" s="52" t="s">
        <v>401</v>
      </c>
      <c r="C68" s="52" t="s">
        <v>402</v>
      </c>
      <c r="D68" s="56" t="s">
        <v>403</v>
      </c>
      <c r="E68" s="62" t="s">
        <v>404</v>
      </c>
      <c r="F68" s="21" t="s">
        <v>274</v>
      </c>
      <c r="G68" s="49" t="s">
        <v>696</v>
      </c>
      <c r="H68" s="26" t="s">
        <v>737</v>
      </c>
      <c r="I68" s="26" t="s">
        <v>737</v>
      </c>
      <c r="J68" s="26" t="s">
        <v>737</v>
      </c>
      <c r="K68" s="26" t="s">
        <v>737</v>
      </c>
      <c r="L68" s="26" t="s">
        <v>737</v>
      </c>
    </row>
    <row r="69" spans="1:13" ht="37" customHeight="1" x14ac:dyDescent="0.4">
      <c r="A69" s="16">
        <v>67</v>
      </c>
      <c r="B69" s="52" t="s">
        <v>405</v>
      </c>
      <c r="C69" s="52" t="s">
        <v>406</v>
      </c>
      <c r="D69" s="56" t="s">
        <v>407</v>
      </c>
      <c r="E69" s="59" t="s">
        <v>408</v>
      </c>
      <c r="F69" s="21" t="s">
        <v>274</v>
      </c>
      <c r="G69" s="49" t="s">
        <v>696</v>
      </c>
      <c r="H69" s="26" t="s">
        <v>737</v>
      </c>
      <c r="I69" s="26" t="s">
        <v>737</v>
      </c>
      <c r="J69" s="26" t="s">
        <v>737</v>
      </c>
      <c r="K69" s="26" t="s">
        <v>737</v>
      </c>
      <c r="L69" s="26" t="s">
        <v>737</v>
      </c>
    </row>
    <row r="70" spans="1:13" ht="37" customHeight="1" x14ac:dyDescent="0.4">
      <c r="A70" s="16">
        <v>68</v>
      </c>
      <c r="B70" s="52" t="s">
        <v>409</v>
      </c>
      <c r="C70" s="52" t="s">
        <v>297</v>
      </c>
      <c r="D70" s="56" t="s">
        <v>410</v>
      </c>
      <c r="E70" s="59"/>
      <c r="F70" s="21" t="s">
        <v>244</v>
      </c>
      <c r="G70" s="49" t="s">
        <v>696</v>
      </c>
      <c r="H70" s="26" t="s">
        <v>737</v>
      </c>
      <c r="I70" s="26" t="s">
        <v>737</v>
      </c>
      <c r="J70" s="26" t="s">
        <v>737</v>
      </c>
      <c r="K70" s="26" t="s">
        <v>737</v>
      </c>
      <c r="L70" s="26" t="s">
        <v>737</v>
      </c>
    </row>
    <row r="71" spans="1:13" ht="37" customHeight="1" x14ac:dyDescent="0.4">
      <c r="A71" s="16">
        <v>69</v>
      </c>
      <c r="B71" s="52" t="s">
        <v>411</v>
      </c>
      <c r="C71" s="52" t="s">
        <v>297</v>
      </c>
      <c r="D71" s="56" t="s">
        <v>412</v>
      </c>
      <c r="E71" s="63" t="s">
        <v>413</v>
      </c>
      <c r="F71" s="21" t="s">
        <v>244</v>
      </c>
      <c r="G71" s="49" t="s">
        <v>696</v>
      </c>
      <c r="H71" s="26" t="s">
        <v>737</v>
      </c>
      <c r="I71" s="26" t="s">
        <v>737</v>
      </c>
      <c r="J71" s="26" t="s">
        <v>737</v>
      </c>
      <c r="K71" s="26" t="s">
        <v>737</v>
      </c>
      <c r="L71" s="26" t="s">
        <v>737</v>
      </c>
    </row>
    <row r="72" spans="1:13" ht="37" customHeight="1" x14ac:dyDescent="0.4">
      <c r="A72" s="16">
        <v>70</v>
      </c>
      <c r="B72" s="52" t="s">
        <v>414</v>
      </c>
      <c r="C72" s="52" t="s">
        <v>297</v>
      </c>
      <c r="D72" s="56" t="s">
        <v>716</v>
      </c>
      <c r="E72" s="59" t="s">
        <v>415</v>
      </c>
      <c r="F72" s="21" t="s">
        <v>244</v>
      </c>
      <c r="G72" s="49" t="s">
        <v>699</v>
      </c>
      <c r="H72" s="49" t="s">
        <v>416</v>
      </c>
      <c r="I72" s="19" t="s">
        <v>417</v>
      </c>
      <c r="J72" s="19" t="s">
        <v>249</v>
      </c>
      <c r="K72" s="19" t="s">
        <v>597</v>
      </c>
      <c r="L72" s="19" t="s">
        <v>418</v>
      </c>
      <c r="M72" s="70" t="s">
        <v>746</v>
      </c>
    </row>
    <row r="73" spans="1:13" ht="37" customHeight="1" x14ac:dyDescent="0.4">
      <c r="A73" s="16">
        <v>71</v>
      </c>
      <c r="B73" s="52" t="s">
        <v>419</v>
      </c>
      <c r="C73" s="52" t="s">
        <v>297</v>
      </c>
      <c r="D73" s="56" t="s">
        <v>717</v>
      </c>
      <c r="E73" s="63" t="s">
        <v>420</v>
      </c>
      <c r="F73" s="21" t="s">
        <v>244</v>
      </c>
      <c r="G73" s="49" t="s">
        <v>696</v>
      </c>
      <c r="H73" s="26" t="s">
        <v>737</v>
      </c>
      <c r="I73" s="26" t="s">
        <v>737</v>
      </c>
      <c r="J73" s="26" t="s">
        <v>737</v>
      </c>
      <c r="K73" s="26" t="s">
        <v>737</v>
      </c>
      <c r="L73" s="26" t="s">
        <v>737</v>
      </c>
    </row>
    <row r="74" spans="1:13" ht="37" customHeight="1" x14ac:dyDescent="0.4">
      <c r="A74" s="16">
        <v>72</v>
      </c>
      <c r="B74" s="52" t="s">
        <v>421</v>
      </c>
      <c r="C74" s="52" t="s">
        <v>297</v>
      </c>
      <c r="D74" s="56" t="s">
        <v>422</v>
      </c>
      <c r="E74" s="63" t="s">
        <v>423</v>
      </c>
      <c r="F74" s="21" t="s">
        <v>244</v>
      </c>
      <c r="G74" s="49" t="s">
        <v>696</v>
      </c>
      <c r="H74" s="49" t="s">
        <v>743</v>
      </c>
      <c r="I74" s="26" t="s">
        <v>737</v>
      </c>
      <c r="J74" s="19" t="s">
        <v>260</v>
      </c>
      <c r="K74" s="19" t="s">
        <v>702</v>
      </c>
      <c r="L74" s="26" t="s">
        <v>737</v>
      </c>
    </row>
    <row r="75" spans="1:13" ht="37" customHeight="1" x14ac:dyDescent="0.4">
      <c r="A75" s="16">
        <v>73</v>
      </c>
      <c r="B75" s="52" t="s">
        <v>424</v>
      </c>
      <c r="C75" s="52" t="s">
        <v>297</v>
      </c>
      <c r="D75" s="56" t="s">
        <v>425</v>
      </c>
      <c r="E75" s="59" t="s">
        <v>426</v>
      </c>
      <c r="F75" s="21" t="s">
        <v>244</v>
      </c>
      <c r="G75" s="49" t="s">
        <v>696</v>
      </c>
      <c r="H75" s="26" t="s">
        <v>737</v>
      </c>
      <c r="I75" s="26" t="s">
        <v>737</v>
      </c>
      <c r="J75" s="26" t="s">
        <v>737</v>
      </c>
      <c r="K75" s="26" t="s">
        <v>737</v>
      </c>
      <c r="L75" s="26" t="s">
        <v>737</v>
      </c>
    </row>
    <row r="76" spans="1:13" ht="37" customHeight="1" x14ac:dyDescent="0.4">
      <c r="A76" s="16">
        <v>74</v>
      </c>
      <c r="B76" s="49" t="s">
        <v>427</v>
      </c>
      <c r="C76" s="49" t="s">
        <v>428</v>
      </c>
      <c r="D76" s="54" t="s">
        <v>429</v>
      </c>
      <c r="E76" s="59" t="s">
        <v>718</v>
      </c>
      <c r="F76" s="23" t="s">
        <v>244</v>
      </c>
      <c r="G76" s="49" t="s">
        <v>699</v>
      </c>
      <c r="H76" s="49" t="s">
        <v>430</v>
      </c>
      <c r="I76" s="19" t="s">
        <v>747</v>
      </c>
      <c r="J76" s="19" t="s">
        <v>249</v>
      </c>
      <c r="K76" s="19" t="s">
        <v>249</v>
      </c>
      <c r="L76" s="19" t="s">
        <v>431</v>
      </c>
      <c r="M76" s="70" t="s">
        <v>746</v>
      </c>
    </row>
    <row r="77" spans="1:13" ht="37" customHeight="1" x14ac:dyDescent="0.4">
      <c r="A77" s="16">
        <v>75</v>
      </c>
      <c r="B77" s="49" t="s">
        <v>432</v>
      </c>
      <c r="C77" s="49" t="s">
        <v>433</v>
      </c>
      <c r="D77" s="54" t="s">
        <v>434</v>
      </c>
      <c r="E77" s="59" t="s">
        <v>415</v>
      </c>
      <c r="F77" s="23" t="s">
        <v>244</v>
      </c>
      <c r="G77" s="49" t="s">
        <v>696</v>
      </c>
      <c r="H77" s="26" t="s">
        <v>737</v>
      </c>
      <c r="I77" s="26" t="s">
        <v>737</v>
      </c>
      <c r="J77" s="26" t="s">
        <v>737</v>
      </c>
      <c r="K77" s="26" t="s">
        <v>737</v>
      </c>
      <c r="L77" s="26" t="s">
        <v>737</v>
      </c>
    </row>
    <row r="78" spans="1:13" ht="37" customHeight="1" x14ac:dyDescent="0.4">
      <c r="A78" s="16">
        <v>76</v>
      </c>
      <c r="B78" s="49" t="s">
        <v>435</v>
      </c>
      <c r="C78" s="49" t="s">
        <v>436</v>
      </c>
      <c r="D78" s="54" t="s">
        <v>437</v>
      </c>
      <c r="E78" s="59" t="s">
        <v>415</v>
      </c>
      <c r="F78" s="23" t="s">
        <v>244</v>
      </c>
      <c r="G78" s="49" t="s">
        <v>696</v>
      </c>
      <c r="H78" s="26" t="s">
        <v>737</v>
      </c>
      <c r="I78" s="26" t="s">
        <v>737</v>
      </c>
      <c r="J78" s="26" t="s">
        <v>737</v>
      </c>
      <c r="K78" s="26" t="s">
        <v>737</v>
      </c>
      <c r="L78" s="26" t="s">
        <v>737</v>
      </c>
    </row>
    <row r="79" spans="1:13" ht="37" customHeight="1" x14ac:dyDescent="0.4">
      <c r="A79" s="16">
        <v>77</v>
      </c>
      <c r="B79" s="49" t="s">
        <v>438</v>
      </c>
      <c r="C79" s="49" t="s">
        <v>439</v>
      </c>
      <c r="D79" s="54" t="s">
        <v>440</v>
      </c>
      <c r="E79" s="59" t="s">
        <v>415</v>
      </c>
      <c r="F79" s="23" t="s">
        <v>244</v>
      </c>
      <c r="G79" s="49" t="s">
        <v>696</v>
      </c>
      <c r="H79" s="26" t="s">
        <v>737</v>
      </c>
      <c r="I79" s="26" t="s">
        <v>737</v>
      </c>
      <c r="J79" s="26" t="s">
        <v>737</v>
      </c>
      <c r="K79" s="26" t="s">
        <v>737</v>
      </c>
      <c r="L79" s="26" t="s">
        <v>737</v>
      </c>
    </row>
    <row r="80" spans="1:13" ht="37" customHeight="1" x14ac:dyDescent="0.4">
      <c r="A80" s="16">
        <v>78</v>
      </c>
      <c r="B80" s="48" t="s">
        <v>441</v>
      </c>
      <c r="C80" s="49" t="s">
        <v>442</v>
      </c>
      <c r="D80" s="54" t="s">
        <v>721</v>
      </c>
      <c r="E80" s="59" t="s">
        <v>415</v>
      </c>
      <c r="F80" s="23" t="s">
        <v>244</v>
      </c>
      <c r="G80" s="49" t="s">
        <v>696</v>
      </c>
      <c r="H80" s="26" t="s">
        <v>737</v>
      </c>
      <c r="I80" s="26" t="s">
        <v>737</v>
      </c>
      <c r="J80" s="26" t="s">
        <v>737</v>
      </c>
      <c r="K80" s="26" t="s">
        <v>737</v>
      </c>
      <c r="L80" s="26" t="s">
        <v>737</v>
      </c>
    </row>
    <row r="81" spans="1:13" ht="37" customHeight="1" x14ac:dyDescent="0.4">
      <c r="A81" s="16">
        <v>79</v>
      </c>
      <c r="B81" s="49" t="s">
        <v>443</v>
      </c>
      <c r="C81" s="49" t="s">
        <v>444</v>
      </c>
      <c r="D81" s="54" t="s">
        <v>719</v>
      </c>
      <c r="E81" s="59" t="s">
        <v>415</v>
      </c>
      <c r="F81" s="23" t="s">
        <v>244</v>
      </c>
      <c r="G81" s="49" t="s">
        <v>696</v>
      </c>
      <c r="H81" s="26" t="s">
        <v>737</v>
      </c>
      <c r="I81" s="26" t="s">
        <v>737</v>
      </c>
      <c r="J81" s="26" t="s">
        <v>737</v>
      </c>
      <c r="K81" s="26" t="s">
        <v>737</v>
      </c>
      <c r="L81" s="26" t="s">
        <v>737</v>
      </c>
    </row>
    <row r="82" spans="1:13" ht="37" customHeight="1" x14ac:dyDescent="0.4">
      <c r="A82" s="16">
        <v>80</v>
      </c>
      <c r="B82" s="49" t="s">
        <v>445</v>
      </c>
      <c r="C82" s="49" t="s">
        <v>446</v>
      </c>
      <c r="D82" s="54" t="s">
        <v>720</v>
      </c>
      <c r="E82" s="59" t="s">
        <v>415</v>
      </c>
      <c r="F82" s="23" t="s">
        <v>244</v>
      </c>
      <c r="G82" s="49" t="s">
        <v>705</v>
      </c>
      <c r="H82" s="49" t="s">
        <v>447</v>
      </c>
      <c r="I82" s="19" t="s">
        <v>749</v>
      </c>
      <c r="J82" s="19" t="s">
        <v>94</v>
      </c>
      <c r="K82" s="19" t="s">
        <v>260</v>
      </c>
      <c r="L82" s="64" t="s">
        <v>748</v>
      </c>
    </row>
    <row r="83" spans="1:13" ht="37" customHeight="1" x14ac:dyDescent="0.4">
      <c r="A83" s="16">
        <v>81</v>
      </c>
      <c r="B83" s="49" t="s">
        <v>448</v>
      </c>
      <c r="C83" s="49" t="s">
        <v>449</v>
      </c>
      <c r="D83" s="54" t="s">
        <v>450</v>
      </c>
      <c r="E83" s="59" t="s">
        <v>415</v>
      </c>
      <c r="F83" s="23" t="s">
        <v>244</v>
      </c>
      <c r="G83" s="49" t="s">
        <v>696</v>
      </c>
      <c r="H83" s="26" t="s">
        <v>737</v>
      </c>
      <c r="I83" s="26" t="s">
        <v>737</v>
      </c>
      <c r="J83" s="26" t="s">
        <v>737</v>
      </c>
      <c r="K83" s="26" t="s">
        <v>737</v>
      </c>
      <c r="L83" s="26" t="s">
        <v>737</v>
      </c>
    </row>
    <row r="84" spans="1:13" ht="37" customHeight="1" x14ac:dyDescent="0.4">
      <c r="A84" s="16">
        <v>82</v>
      </c>
      <c r="B84" s="49" t="s">
        <v>451</v>
      </c>
      <c r="C84" s="49" t="s">
        <v>452</v>
      </c>
      <c r="D84" s="54" t="s">
        <v>453</v>
      </c>
      <c r="E84" s="59" t="s">
        <v>415</v>
      </c>
      <c r="F84" s="23" t="s">
        <v>244</v>
      </c>
      <c r="G84" s="49" t="s">
        <v>696</v>
      </c>
      <c r="H84" s="26" t="s">
        <v>737</v>
      </c>
      <c r="I84" s="26" t="s">
        <v>737</v>
      </c>
      <c r="J84" s="26" t="s">
        <v>737</v>
      </c>
      <c r="K84" s="26" t="s">
        <v>737</v>
      </c>
      <c r="L84" s="26" t="s">
        <v>737</v>
      </c>
    </row>
    <row r="85" spans="1:13" ht="37" customHeight="1" x14ac:dyDescent="0.4">
      <c r="A85" s="16">
        <v>83</v>
      </c>
      <c r="B85" s="49" t="s">
        <v>454</v>
      </c>
      <c r="C85" s="49" t="s">
        <v>455</v>
      </c>
      <c r="D85" s="54" t="s">
        <v>722</v>
      </c>
      <c r="E85" s="59" t="s">
        <v>415</v>
      </c>
      <c r="F85" s="23" t="s">
        <v>244</v>
      </c>
      <c r="G85" s="49" t="s">
        <v>706</v>
      </c>
      <c r="H85" s="49" t="s">
        <v>739</v>
      </c>
      <c r="I85" s="19" t="s">
        <v>750</v>
      </c>
      <c r="J85" s="19" t="s">
        <v>94</v>
      </c>
      <c r="K85" s="19" t="s">
        <v>260</v>
      </c>
      <c r="L85" s="64">
        <v>0.6</v>
      </c>
      <c r="M85" s="70" t="s">
        <v>746</v>
      </c>
    </row>
    <row r="86" spans="1:13" ht="37" customHeight="1" x14ac:dyDescent="0.4">
      <c r="A86" s="16">
        <v>84</v>
      </c>
      <c r="B86" s="49" t="s">
        <v>456</v>
      </c>
      <c r="C86" s="49" t="s">
        <v>457</v>
      </c>
      <c r="D86" s="54" t="s">
        <v>723</v>
      </c>
      <c r="E86" s="59" t="s">
        <v>415</v>
      </c>
      <c r="F86" s="23" t="s">
        <v>244</v>
      </c>
      <c r="G86" s="49" t="s">
        <v>696</v>
      </c>
      <c r="H86" s="26" t="s">
        <v>737</v>
      </c>
      <c r="I86" s="26" t="s">
        <v>737</v>
      </c>
      <c r="J86" s="26" t="s">
        <v>737</v>
      </c>
      <c r="K86" s="26" t="s">
        <v>737</v>
      </c>
      <c r="L86" s="26" t="s">
        <v>737</v>
      </c>
    </row>
    <row r="87" spans="1:13" ht="37" customHeight="1" x14ac:dyDescent="0.4">
      <c r="A87" s="16">
        <v>85</v>
      </c>
      <c r="B87" s="49" t="s">
        <v>458</v>
      </c>
      <c r="C87" s="49" t="s">
        <v>459</v>
      </c>
      <c r="D87" s="54" t="s">
        <v>460</v>
      </c>
      <c r="E87" s="59"/>
      <c r="F87" s="23" t="s">
        <v>244</v>
      </c>
      <c r="G87" s="49" t="s">
        <v>696</v>
      </c>
      <c r="H87" s="26" t="s">
        <v>737</v>
      </c>
      <c r="I87" s="26" t="s">
        <v>737</v>
      </c>
      <c r="J87" s="26" t="s">
        <v>737</v>
      </c>
      <c r="K87" s="26" t="s">
        <v>737</v>
      </c>
      <c r="L87" s="26" t="s">
        <v>737</v>
      </c>
    </row>
    <row r="88" spans="1:13" ht="37" customHeight="1" x14ac:dyDescent="0.4">
      <c r="A88" s="16">
        <v>86</v>
      </c>
      <c r="B88" s="49" t="s">
        <v>461</v>
      </c>
      <c r="C88" s="49" t="s">
        <v>462</v>
      </c>
      <c r="D88" s="54" t="s">
        <v>463</v>
      </c>
      <c r="E88" s="59" t="s">
        <v>415</v>
      </c>
      <c r="F88" s="23" t="s">
        <v>244</v>
      </c>
      <c r="G88" s="49" t="s">
        <v>696</v>
      </c>
      <c r="H88" s="26" t="s">
        <v>737</v>
      </c>
      <c r="I88" s="26" t="s">
        <v>737</v>
      </c>
      <c r="J88" s="26" t="s">
        <v>737</v>
      </c>
      <c r="K88" s="26" t="s">
        <v>737</v>
      </c>
      <c r="L88" s="26" t="s">
        <v>737</v>
      </c>
    </row>
    <row r="89" spans="1:13" ht="37" customHeight="1" x14ac:dyDescent="0.4">
      <c r="A89" s="16">
        <v>87</v>
      </c>
      <c r="B89" s="49" t="s">
        <v>464</v>
      </c>
      <c r="C89" s="49" t="s">
        <v>465</v>
      </c>
      <c r="D89" s="54" t="s">
        <v>466</v>
      </c>
      <c r="E89" s="59" t="s">
        <v>415</v>
      </c>
      <c r="F89" s="23" t="s">
        <v>244</v>
      </c>
      <c r="G89" s="49" t="s">
        <v>705</v>
      </c>
      <c r="H89" s="49" t="s">
        <v>467</v>
      </c>
      <c r="I89" s="26" t="s">
        <v>737</v>
      </c>
      <c r="J89" s="19" t="s">
        <v>260</v>
      </c>
      <c r="K89" s="26" t="s">
        <v>737</v>
      </c>
      <c r="L89" s="26" t="s">
        <v>737</v>
      </c>
    </row>
    <row r="90" spans="1:13" ht="37" customHeight="1" x14ac:dyDescent="0.4">
      <c r="A90" s="16">
        <v>88</v>
      </c>
      <c r="B90" s="49" t="s">
        <v>468</v>
      </c>
      <c r="C90" s="49" t="s">
        <v>469</v>
      </c>
      <c r="D90" s="54" t="s">
        <v>470</v>
      </c>
      <c r="E90" s="59" t="s">
        <v>415</v>
      </c>
      <c r="F90" s="23" t="s">
        <v>244</v>
      </c>
      <c r="G90" s="49" t="s">
        <v>696</v>
      </c>
      <c r="H90" s="26" t="s">
        <v>737</v>
      </c>
      <c r="I90" s="26" t="s">
        <v>737</v>
      </c>
      <c r="J90" s="26" t="s">
        <v>737</v>
      </c>
      <c r="K90" s="26" t="s">
        <v>737</v>
      </c>
      <c r="L90" s="26" t="s">
        <v>737</v>
      </c>
    </row>
    <row r="91" spans="1:13" ht="37" customHeight="1" x14ac:dyDescent="0.4">
      <c r="A91" s="16">
        <v>89</v>
      </c>
      <c r="B91" s="49" t="s">
        <v>471</v>
      </c>
      <c r="C91" s="49" t="s">
        <v>472</v>
      </c>
      <c r="D91" s="54" t="s">
        <v>473</v>
      </c>
      <c r="E91" s="59" t="s">
        <v>415</v>
      </c>
      <c r="F91" s="23" t="s">
        <v>244</v>
      </c>
      <c r="G91" s="49" t="s">
        <v>696</v>
      </c>
      <c r="H91" s="26" t="s">
        <v>737</v>
      </c>
      <c r="I91" s="26" t="s">
        <v>737</v>
      </c>
      <c r="J91" s="26" t="s">
        <v>737</v>
      </c>
      <c r="K91" s="26" t="s">
        <v>737</v>
      </c>
      <c r="L91" s="26" t="s">
        <v>737</v>
      </c>
    </row>
    <row r="92" spans="1:13" ht="37" customHeight="1" x14ac:dyDescent="0.4">
      <c r="A92" s="16">
        <v>90</v>
      </c>
      <c r="B92" s="49" t="s">
        <v>474</v>
      </c>
      <c r="C92" s="49" t="s">
        <v>475</v>
      </c>
      <c r="D92" s="54" t="s">
        <v>476</v>
      </c>
      <c r="E92" s="59" t="s">
        <v>415</v>
      </c>
      <c r="F92" s="23" t="s">
        <v>244</v>
      </c>
      <c r="G92" s="49" t="s">
        <v>696</v>
      </c>
      <c r="H92" s="26" t="s">
        <v>737</v>
      </c>
      <c r="I92" s="26" t="s">
        <v>737</v>
      </c>
      <c r="J92" s="26" t="s">
        <v>737</v>
      </c>
      <c r="K92" s="26" t="s">
        <v>737</v>
      </c>
      <c r="L92" s="26" t="s">
        <v>737</v>
      </c>
    </row>
    <row r="93" spans="1:13" ht="37" customHeight="1" x14ac:dyDescent="0.4">
      <c r="A93" s="16">
        <v>91</v>
      </c>
      <c r="B93" s="49" t="s">
        <v>477</v>
      </c>
      <c r="C93" s="49" t="s">
        <v>478</v>
      </c>
      <c r="D93" s="54" t="s">
        <v>479</v>
      </c>
      <c r="E93" s="59" t="s">
        <v>480</v>
      </c>
      <c r="F93" s="23" t="s">
        <v>244</v>
      </c>
      <c r="G93" s="49" t="s">
        <v>696</v>
      </c>
      <c r="H93" s="26" t="s">
        <v>737</v>
      </c>
      <c r="I93" s="26" t="s">
        <v>737</v>
      </c>
      <c r="J93" s="26" t="s">
        <v>737</v>
      </c>
      <c r="K93" s="26" t="s">
        <v>737</v>
      </c>
      <c r="L93" s="26" t="s">
        <v>737</v>
      </c>
    </row>
    <row r="94" spans="1:13" ht="37" customHeight="1" x14ac:dyDescent="0.4">
      <c r="A94" s="16">
        <v>92</v>
      </c>
      <c r="B94" s="49" t="s">
        <v>481</v>
      </c>
      <c r="C94" s="49" t="s">
        <v>482</v>
      </c>
      <c r="D94" s="54" t="s">
        <v>483</v>
      </c>
      <c r="E94" s="59" t="s">
        <v>480</v>
      </c>
      <c r="F94" s="23" t="s">
        <v>244</v>
      </c>
      <c r="G94" s="49" t="s">
        <v>696</v>
      </c>
      <c r="H94" s="26" t="s">
        <v>737</v>
      </c>
      <c r="I94" s="26" t="s">
        <v>737</v>
      </c>
      <c r="J94" s="26" t="s">
        <v>737</v>
      </c>
      <c r="K94" s="26" t="s">
        <v>737</v>
      </c>
      <c r="L94" s="26" t="s">
        <v>737</v>
      </c>
    </row>
    <row r="95" spans="1:13" ht="37" customHeight="1" x14ac:dyDescent="0.4">
      <c r="A95" s="16">
        <v>93</v>
      </c>
      <c r="B95" s="49" t="s">
        <v>484</v>
      </c>
      <c r="C95" s="49" t="s">
        <v>485</v>
      </c>
      <c r="D95" s="54" t="s">
        <v>724</v>
      </c>
      <c r="E95" s="59" t="s">
        <v>480</v>
      </c>
      <c r="F95" s="23" t="s">
        <v>244</v>
      </c>
      <c r="G95" s="49" t="s">
        <v>696</v>
      </c>
      <c r="H95" s="26" t="s">
        <v>737</v>
      </c>
      <c r="I95" s="26" t="s">
        <v>737</v>
      </c>
      <c r="J95" s="26" t="s">
        <v>737</v>
      </c>
      <c r="K95" s="26" t="s">
        <v>737</v>
      </c>
      <c r="L95" s="26" t="s">
        <v>737</v>
      </c>
    </row>
    <row r="96" spans="1:13" ht="37" customHeight="1" x14ac:dyDescent="0.4">
      <c r="A96" s="16">
        <v>94</v>
      </c>
      <c r="B96" s="49" t="s">
        <v>486</v>
      </c>
      <c r="C96" s="49" t="s">
        <v>487</v>
      </c>
      <c r="D96" s="54" t="s">
        <v>488</v>
      </c>
      <c r="E96" s="59" t="s">
        <v>489</v>
      </c>
      <c r="F96" s="23" t="s">
        <v>244</v>
      </c>
      <c r="G96" s="49" t="s">
        <v>707</v>
      </c>
    </row>
    <row r="97" spans="1:13" ht="37" customHeight="1" x14ac:dyDescent="0.4">
      <c r="A97" s="16">
        <v>95</v>
      </c>
      <c r="B97" s="49" t="s">
        <v>490</v>
      </c>
      <c r="C97" s="49" t="s">
        <v>491</v>
      </c>
      <c r="D97" s="54" t="s">
        <v>492</v>
      </c>
      <c r="E97" s="59" t="s">
        <v>493</v>
      </c>
      <c r="F97" s="23" t="s">
        <v>244</v>
      </c>
      <c r="G97" s="49" t="s">
        <v>707</v>
      </c>
    </row>
    <row r="98" spans="1:13" ht="37" customHeight="1" x14ac:dyDescent="0.4">
      <c r="A98" s="16">
        <v>96</v>
      </c>
      <c r="B98" s="49" t="s">
        <v>494</v>
      </c>
      <c r="C98" s="49" t="s">
        <v>495</v>
      </c>
      <c r="D98" s="54" t="s">
        <v>496</v>
      </c>
      <c r="E98" s="63" t="s">
        <v>497</v>
      </c>
      <c r="F98" s="23" t="s">
        <v>244</v>
      </c>
      <c r="G98" s="49" t="s">
        <v>696</v>
      </c>
      <c r="H98" s="26" t="s">
        <v>737</v>
      </c>
      <c r="I98" s="26" t="s">
        <v>737</v>
      </c>
      <c r="J98" s="26" t="s">
        <v>737</v>
      </c>
      <c r="K98" s="26" t="s">
        <v>737</v>
      </c>
      <c r="L98" s="26" t="s">
        <v>737</v>
      </c>
    </row>
    <row r="99" spans="1:13" ht="37" customHeight="1" x14ac:dyDescent="0.4">
      <c r="A99" s="16">
        <v>97</v>
      </c>
      <c r="B99" s="49" t="s">
        <v>498</v>
      </c>
      <c r="C99" s="49" t="s">
        <v>499</v>
      </c>
      <c r="D99" s="54" t="s">
        <v>500</v>
      </c>
      <c r="E99" s="59"/>
      <c r="F99" s="23" t="s">
        <v>244</v>
      </c>
      <c r="G99" s="49" t="s">
        <v>701</v>
      </c>
      <c r="H99" s="26" t="s">
        <v>418</v>
      </c>
      <c r="I99" s="26" t="s">
        <v>737</v>
      </c>
      <c r="J99" s="26" t="s">
        <v>737</v>
      </c>
      <c r="K99" s="26" t="s">
        <v>737</v>
      </c>
      <c r="L99" s="26" t="s">
        <v>737</v>
      </c>
    </row>
    <row r="100" spans="1:13" ht="37" customHeight="1" x14ac:dyDescent="0.4">
      <c r="A100" s="16">
        <v>98</v>
      </c>
      <c r="B100" s="49" t="s">
        <v>501</v>
      </c>
      <c r="C100" s="49" t="s">
        <v>502</v>
      </c>
      <c r="D100" s="54" t="s">
        <v>503</v>
      </c>
      <c r="E100" s="63" t="s">
        <v>504</v>
      </c>
      <c r="F100" s="23" t="s">
        <v>244</v>
      </c>
      <c r="G100" s="49" t="s">
        <v>696</v>
      </c>
      <c r="H100" s="26" t="s">
        <v>737</v>
      </c>
      <c r="I100" s="26" t="s">
        <v>737</v>
      </c>
      <c r="J100" s="26" t="s">
        <v>737</v>
      </c>
      <c r="K100" s="26" t="s">
        <v>737</v>
      </c>
      <c r="L100" s="26" t="s">
        <v>737</v>
      </c>
    </row>
    <row r="101" spans="1:13" ht="37" customHeight="1" x14ac:dyDescent="0.4">
      <c r="A101" s="16">
        <v>99</v>
      </c>
      <c r="B101" s="49" t="s">
        <v>505</v>
      </c>
      <c r="C101" s="49" t="s">
        <v>506</v>
      </c>
      <c r="D101" s="54" t="s">
        <v>507</v>
      </c>
      <c r="E101" s="59"/>
      <c r="F101" s="23" t="s">
        <v>244</v>
      </c>
      <c r="G101" s="49" t="s">
        <v>696</v>
      </c>
      <c r="H101" s="26" t="s">
        <v>737</v>
      </c>
      <c r="I101" s="26" t="s">
        <v>737</v>
      </c>
      <c r="J101" s="26" t="s">
        <v>737</v>
      </c>
      <c r="K101" s="26" t="s">
        <v>737</v>
      </c>
      <c r="L101" s="26" t="s">
        <v>737</v>
      </c>
    </row>
    <row r="102" spans="1:13" ht="37" customHeight="1" x14ac:dyDescent="0.4">
      <c r="A102" s="16">
        <v>100</v>
      </c>
      <c r="B102" s="49" t="s">
        <v>508</v>
      </c>
      <c r="C102" s="49" t="s">
        <v>509</v>
      </c>
      <c r="D102" s="54"/>
      <c r="E102" s="59"/>
      <c r="F102" s="23" t="s">
        <v>244</v>
      </c>
      <c r="G102" s="49" t="s">
        <v>707</v>
      </c>
    </row>
    <row r="103" spans="1:13" ht="37" customHeight="1" x14ac:dyDescent="0.4">
      <c r="A103" s="16">
        <v>101</v>
      </c>
      <c r="B103" s="49" t="s">
        <v>510</v>
      </c>
      <c r="C103" s="49" t="s">
        <v>511</v>
      </c>
      <c r="D103" s="54" t="s">
        <v>512</v>
      </c>
      <c r="E103" s="59"/>
      <c r="F103" s="22" t="s">
        <v>244</v>
      </c>
      <c r="G103" s="49" t="s">
        <v>699</v>
      </c>
      <c r="H103" s="49" t="s">
        <v>740</v>
      </c>
      <c r="I103" s="19" t="s">
        <v>513</v>
      </c>
      <c r="J103" s="19" t="s">
        <v>249</v>
      </c>
      <c r="K103" s="19" t="s">
        <v>597</v>
      </c>
      <c r="L103" s="26" t="s">
        <v>737</v>
      </c>
      <c r="M103" s="70" t="s">
        <v>746</v>
      </c>
    </row>
    <row r="104" spans="1:13" ht="37" customHeight="1" x14ac:dyDescent="0.4">
      <c r="A104" s="16">
        <v>102</v>
      </c>
      <c r="B104" s="49" t="s">
        <v>514</v>
      </c>
      <c r="C104" s="49" t="s">
        <v>515</v>
      </c>
      <c r="D104" s="54" t="s">
        <v>516</v>
      </c>
      <c r="E104" s="59"/>
      <c r="F104" s="22" t="s">
        <v>244</v>
      </c>
      <c r="G104" s="49" t="s">
        <v>696</v>
      </c>
      <c r="H104" s="26" t="s">
        <v>737</v>
      </c>
      <c r="I104" s="26" t="s">
        <v>737</v>
      </c>
      <c r="J104" s="26" t="s">
        <v>737</v>
      </c>
      <c r="K104" s="26" t="s">
        <v>737</v>
      </c>
      <c r="L104" s="26" t="s">
        <v>737</v>
      </c>
    </row>
    <row r="105" spans="1:13" ht="37" customHeight="1" x14ac:dyDescent="0.4">
      <c r="A105" s="16">
        <v>103</v>
      </c>
      <c r="B105" s="49" t="s">
        <v>517</v>
      </c>
      <c r="C105" s="49" t="s">
        <v>518</v>
      </c>
      <c r="D105" s="54" t="s">
        <v>519</v>
      </c>
      <c r="E105" s="59"/>
      <c r="F105" s="22" t="s">
        <v>244</v>
      </c>
      <c r="G105" s="49" t="s">
        <v>696</v>
      </c>
      <c r="H105" s="26" t="s">
        <v>737</v>
      </c>
      <c r="I105" s="26" t="s">
        <v>737</v>
      </c>
      <c r="J105" s="26" t="s">
        <v>737</v>
      </c>
      <c r="K105" s="26" t="s">
        <v>737</v>
      </c>
      <c r="L105" s="26" t="s">
        <v>737</v>
      </c>
    </row>
    <row r="106" spans="1:13" ht="37" customHeight="1" x14ac:dyDescent="0.4">
      <c r="A106" s="16">
        <v>104</v>
      </c>
      <c r="B106" s="49" t="s">
        <v>520</v>
      </c>
      <c r="C106" s="49" t="s">
        <v>521</v>
      </c>
      <c r="D106" s="54" t="s">
        <v>522</v>
      </c>
      <c r="E106" s="59"/>
      <c r="F106" s="22" t="s">
        <v>244</v>
      </c>
      <c r="G106" s="49" t="s">
        <v>696</v>
      </c>
      <c r="H106" s="26" t="s">
        <v>737</v>
      </c>
      <c r="I106" s="26" t="s">
        <v>737</v>
      </c>
      <c r="J106" s="26" t="s">
        <v>737</v>
      </c>
      <c r="K106" s="26" t="s">
        <v>737</v>
      </c>
      <c r="L106" s="26" t="s">
        <v>737</v>
      </c>
    </row>
    <row r="107" spans="1:13" ht="37" customHeight="1" x14ac:dyDescent="0.4">
      <c r="A107" s="16">
        <v>105</v>
      </c>
      <c r="B107" s="49" t="s">
        <v>523</v>
      </c>
      <c r="C107" s="49" t="s">
        <v>524</v>
      </c>
      <c r="D107" s="57" t="s">
        <v>525</v>
      </c>
      <c r="E107" s="59"/>
      <c r="F107" s="22" t="s">
        <v>244</v>
      </c>
      <c r="G107" s="49" t="s">
        <v>696</v>
      </c>
      <c r="H107" s="26" t="s">
        <v>737</v>
      </c>
      <c r="I107" s="26" t="s">
        <v>737</v>
      </c>
      <c r="J107" s="26" t="s">
        <v>737</v>
      </c>
      <c r="K107" s="26" t="s">
        <v>737</v>
      </c>
      <c r="L107" s="26" t="s">
        <v>737</v>
      </c>
    </row>
    <row r="108" spans="1:13" ht="37" customHeight="1" x14ac:dyDescent="0.4">
      <c r="A108" s="16">
        <v>106</v>
      </c>
      <c r="B108" s="49" t="s">
        <v>526</v>
      </c>
      <c r="C108" s="49" t="s">
        <v>527</v>
      </c>
      <c r="D108" s="54" t="s">
        <v>528</v>
      </c>
      <c r="E108" s="59"/>
      <c r="F108" s="22" t="s">
        <v>244</v>
      </c>
      <c r="G108" s="49" t="s">
        <v>704</v>
      </c>
      <c r="H108" s="49" t="s">
        <v>529</v>
      </c>
      <c r="I108" s="26" t="s">
        <v>737</v>
      </c>
      <c r="J108" s="19" t="s">
        <v>249</v>
      </c>
      <c r="K108" s="26" t="s">
        <v>597</v>
      </c>
      <c r="L108" s="26" t="s">
        <v>737</v>
      </c>
    </row>
    <row r="109" spans="1:13" ht="37" customHeight="1" x14ac:dyDescent="0.4">
      <c r="A109" s="16">
        <v>107</v>
      </c>
      <c r="B109" s="49" t="s">
        <v>530</v>
      </c>
      <c r="C109" s="49" t="s">
        <v>531</v>
      </c>
      <c r="D109" s="54" t="s">
        <v>532</v>
      </c>
      <c r="E109" s="59"/>
      <c r="F109" s="22" t="s">
        <v>244</v>
      </c>
      <c r="G109" s="49" t="s">
        <v>696</v>
      </c>
      <c r="H109" s="49" t="s">
        <v>738</v>
      </c>
      <c r="I109" s="26" t="s">
        <v>737</v>
      </c>
      <c r="J109" s="19" t="s">
        <v>260</v>
      </c>
      <c r="K109" s="19" t="s">
        <v>597</v>
      </c>
      <c r="L109" s="26" t="s">
        <v>737</v>
      </c>
    </row>
    <row r="110" spans="1:13" ht="37" customHeight="1" x14ac:dyDescent="0.4">
      <c r="A110" s="16">
        <v>108</v>
      </c>
      <c r="B110" s="49" t="s">
        <v>533</v>
      </c>
      <c r="C110" s="49" t="s">
        <v>534</v>
      </c>
      <c r="D110" s="54" t="s">
        <v>535</v>
      </c>
      <c r="E110" s="59"/>
      <c r="F110" s="22" t="s">
        <v>244</v>
      </c>
      <c r="G110" s="49" t="s">
        <v>696</v>
      </c>
      <c r="H110" s="26" t="s">
        <v>737</v>
      </c>
      <c r="I110" s="26" t="s">
        <v>737</v>
      </c>
      <c r="J110" s="26" t="s">
        <v>737</v>
      </c>
      <c r="K110" s="26" t="s">
        <v>737</v>
      </c>
      <c r="L110" s="26" t="s">
        <v>737</v>
      </c>
    </row>
    <row r="111" spans="1:13" ht="37" customHeight="1" x14ac:dyDescent="0.4">
      <c r="A111" s="16">
        <v>109</v>
      </c>
      <c r="B111" s="49" t="s">
        <v>536</v>
      </c>
      <c r="C111" s="49" t="s">
        <v>537</v>
      </c>
      <c r="D111" s="54" t="s">
        <v>538</v>
      </c>
      <c r="E111" s="59"/>
      <c r="F111" s="22" t="s">
        <v>244</v>
      </c>
      <c r="G111" s="49" t="s">
        <v>696</v>
      </c>
      <c r="H111" s="26" t="s">
        <v>737</v>
      </c>
      <c r="I111" s="26" t="s">
        <v>737</v>
      </c>
      <c r="J111" s="26" t="s">
        <v>737</v>
      </c>
      <c r="K111" s="26" t="s">
        <v>737</v>
      </c>
      <c r="L111" s="26" t="s">
        <v>737</v>
      </c>
    </row>
    <row r="112" spans="1:13" ht="37" customHeight="1" x14ac:dyDescent="0.4">
      <c r="A112" s="16">
        <v>110</v>
      </c>
      <c r="B112" s="49" t="s">
        <v>539</v>
      </c>
      <c r="C112" s="49" t="s">
        <v>540</v>
      </c>
      <c r="D112" s="54" t="s">
        <v>541</v>
      </c>
      <c r="E112" s="59"/>
      <c r="F112" s="22" t="s">
        <v>244</v>
      </c>
      <c r="G112" s="49" t="s">
        <v>696</v>
      </c>
      <c r="H112" s="26" t="s">
        <v>737</v>
      </c>
      <c r="I112" s="26" t="s">
        <v>737</v>
      </c>
      <c r="J112" s="26" t="s">
        <v>737</v>
      </c>
      <c r="K112" s="26" t="s">
        <v>737</v>
      </c>
      <c r="L112" s="26" t="s">
        <v>737</v>
      </c>
    </row>
    <row r="113" spans="1:12" ht="37" customHeight="1" x14ac:dyDescent="0.4">
      <c r="A113" s="16">
        <v>111</v>
      </c>
      <c r="B113" s="49" t="s">
        <v>542</v>
      </c>
      <c r="C113" s="49" t="s">
        <v>543</v>
      </c>
      <c r="D113" s="54" t="s">
        <v>544</v>
      </c>
      <c r="E113" s="59"/>
      <c r="F113" s="22" t="s">
        <v>244</v>
      </c>
      <c r="G113" s="49" t="s">
        <v>696</v>
      </c>
      <c r="H113" s="26" t="s">
        <v>737</v>
      </c>
      <c r="I113" s="26" t="s">
        <v>737</v>
      </c>
      <c r="J113" s="26" t="s">
        <v>737</v>
      </c>
      <c r="K113" s="26" t="s">
        <v>737</v>
      </c>
      <c r="L113" s="26" t="s">
        <v>737</v>
      </c>
    </row>
    <row r="114" spans="1:12" ht="37" customHeight="1" x14ac:dyDescent="0.4">
      <c r="A114" s="16">
        <v>112</v>
      </c>
      <c r="B114" s="49" t="s">
        <v>545</v>
      </c>
      <c r="C114" s="49" t="s">
        <v>546</v>
      </c>
      <c r="D114" s="54" t="s">
        <v>547</v>
      </c>
      <c r="E114" s="59"/>
      <c r="F114" s="22" t="s">
        <v>244</v>
      </c>
      <c r="G114" s="49" t="s">
        <v>696</v>
      </c>
      <c r="H114" s="26" t="s">
        <v>737</v>
      </c>
      <c r="I114" s="26" t="s">
        <v>737</v>
      </c>
      <c r="J114" s="26" t="s">
        <v>737</v>
      </c>
      <c r="K114" s="26" t="s">
        <v>737</v>
      </c>
      <c r="L114" s="26" t="s">
        <v>737</v>
      </c>
    </row>
    <row r="115" spans="1:12" ht="37" customHeight="1" x14ac:dyDescent="0.4">
      <c r="A115" s="16">
        <v>113</v>
      </c>
      <c r="B115" s="49" t="s">
        <v>548</v>
      </c>
      <c r="C115" s="49" t="s">
        <v>549</v>
      </c>
      <c r="D115" s="54" t="s">
        <v>550</v>
      </c>
      <c r="E115" s="59"/>
      <c r="F115" s="22" t="s">
        <v>244</v>
      </c>
      <c r="G115" s="49" t="s">
        <v>696</v>
      </c>
      <c r="H115" s="26" t="s">
        <v>737</v>
      </c>
      <c r="I115" s="26" t="s">
        <v>737</v>
      </c>
      <c r="J115" s="26" t="s">
        <v>737</v>
      </c>
      <c r="K115" s="26" t="s">
        <v>737</v>
      </c>
      <c r="L115" s="26" t="s">
        <v>737</v>
      </c>
    </row>
    <row r="116" spans="1:12" ht="37" customHeight="1" x14ac:dyDescent="0.4">
      <c r="A116" s="16">
        <v>114</v>
      </c>
      <c r="B116" s="49" t="s">
        <v>551</v>
      </c>
      <c r="C116" s="49" t="s">
        <v>552</v>
      </c>
      <c r="D116" s="54" t="s">
        <v>553</v>
      </c>
      <c r="E116" s="59"/>
      <c r="F116" s="22" t="s">
        <v>244</v>
      </c>
      <c r="G116" s="49" t="s">
        <v>696</v>
      </c>
      <c r="H116" s="26" t="s">
        <v>737</v>
      </c>
      <c r="I116" s="26" t="s">
        <v>737</v>
      </c>
      <c r="J116" s="26" t="s">
        <v>737</v>
      </c>
      <c r="K116" s="26" t="s">
        <v>737</v>
      </c>
      <c r="L116" s="26" t="s">
        <v>737</v>
      </c>
    </row>
    <row r="117" spans="1:12" ht="37" customHeight="1" x14ac:dyDescent="0.4">
      <c r="A117" s="16">
        <v>115</v>
      </c>
      <c r="B117" s="49" t="s">
        <v>554</v>
      </c>
      <c r="C117" s="49" t="s">
        <v>555</v>
      </c>
      <c r="D117" s="54" t="s">
        <v>556</v>
      </c>
      <c r="E117" s="59"/>
      <c r="F117" s="22" t="s">
        <v>244</v>
      </c>
      <c r="G117" s="49" t="s">
        <v>696</v>
      </c>
      <c r="H117" s="26" t="s">
        <v>737</v>
      </c>
      <c r="I117" s="26" t="s">
        <v>737</v>
      </c>
      <c r="J117" s="26" t="s">
        <v>737</v>
      </c>
      <c r="K117" s="26" t="s">
        <v>737</v>
      </c>
      <c r="L117" s="26" t="s">
        <v>737</v>
      </c>
    </row>
    <row r="118" spans="1:12" ht="37" customHeight="1" x14ac:dyDescent="0.4">
      <c r="A118" s="16">
        <v>116</v>
      </c>
      <c r="B118" s="49" t="s">
        <v>557</v>
      </c>
      <c r="C118" s="49" t="s">
        <v>558</v>
      </c>
      <c r="D118" s="54" t="s">
        <v>559</v>
      </c>
      <c r="E118" s="59"/>
      <c r="F118" s="22" t="s">
        <v>244</v>
      </c>
      <c r="G118" s="49" t="s">
        <v>696</v>
      </c>
      <c r="H118" s="26" t="s">
        <v>737</v>
      </c>
      <c r="I118" s="26" t="s">
        <v>737</v>
      </c>
      <c r="J118" s="26" t="s">
        <v>737</v>
      </c>
      <c r="K118" s="26" t="s">
        <v>737</v>
      </c>
      <c r="L118" s="26" t="s">
        <v>737</v>
      </c>
    </row>
    <row r="119" spans="1:12" ht="37" customHeight="1" x14ac:dyDescent="0.4">
      <c r="A119" s="16">
        <v>117</v>
      </c>
      <c r="B119" s="49" t="s">
        <v>560</v>
      </c>
      <c r="C119" s="49" t="s">
        <v>561</v>
      </c>
      <c r="D119" s="54" t="s">
        <v>562</v>
      </c>
      <c r="E119" s="59"/>
      <c r="F119" s="22" t="s">
        <v>244</v>
      </c>
      <c r="G119" s="49" t="s">
        <v>696</v>
      </c>
      <c r="H119" s="26" t="s">
        <v>737</v>
      </c>
      <c r="I119" s="26" t="s">
        <v>737</v>
      </c>
      <c r="J119" s="26" t="s">
        <v>737</v>
      </c>
      <c r="K119" s="26" t="s">
        <v>737</v>
      </c>
      <c r="L119" s="26" t="s">
        <v>737</v>
      </c>
    </row>
    <row r="120" spans="1:12" ht="37" customHeight="1" x14ac:dyDescent="0.4">
      <c r="A120" s="16">
        <v>118</v>
      </c>
      <c r="B120" s="49" t="s">
        <v>563</v>
      </c>
      <c r="C120" s="49" t="s">
        <v>564</v>
      </c>
      <c r="D120" s="54" t="s">
        <v>565</v>
      </c>
      <c r="E120" s="59"/>
      <c r="F120" s="22" t="s">
        <v>244</v>
      </c>
      <c r="G120" s="49" t="s">
        <v>696</v>
      </c>
      <c r="H120" s="26" t="s">
        <v>737</v>
      </c>
      <c r="I120" s="26" t="s">
        <v>737</v>
      </c>
      <c r="J120" s="26" t="s">
        <v>737</v>
      </c>
      <c r="K120" s="26" t="s">
        <v>737</v>
      </c>
      <c r="L120" s="26" t="s">
        <v>737</v>
      </c>
    </row>
    <row r="121" spans="1:12" ht="37" customHeight="1" x14ac:dyDescent="0.4">
      <c r="A121" s="16">
        <v>119</v>
      </c>
      <c r="B121" s="49" t="s">
        <v>566</v>
      </c>
      <c r="C121" s="49" t="s">
        <v>567</v>
      </c>
      <c r="D121" s="54" t="s">
        <v>725</v>
      </c>
      <c r="E121" s="59"/>
      <c r="F121" s="22" t="s">
        <v>244</v>
      </c>
      <c r="G121" s="49" t="s">
        <v>696</v>
      </c>
      <c r="H121" s="26" t="s">
        <v>737</v>
      </c>
      <c r="I121" s="26" t="s">
        <v>737</v>
      </c>
      <c r="J121" s="26" t="s">
        <v>737</v>
      </c>
      <c r="K121" s="26" t="s">
        <v>737</v>
      </c>
      <c r="L121" s="26" t="s">
        <v>737</v>
      </c>
    </row>
    <row r="122" spans="1:12" ht="37" customHeight="1" x14ac:dyDescent="0.4">
      <c r="A122" s="16">
        <v>120</v>
      </c>
      <c r="B122" s="49" t="s">
        <v>568</v>
      </c>
      <c r="C122" s="49" t="s">
        <v>569</v>
      </c>
      <c r="D122" s="54" t="s">
        <v>726</v>
      </c>
      <c r="E122" s="59"/>
      <c r="F122" s="22" t="s">
        <v>244</v>
      </c>
      <c r="G122" s="49" t="s">
        <v>707</v>
      </c>
    </row>
    <row r="123" spans="1:12" ht="37" customHeight="1" x14ac:dyDescent="0.4">
      <c r="A123" s="16">
        <v>121</v>
      </c>
      <c r="B123" s="49" t="s">
        <v>570</v>
      </c>
      <c r="C123" s="49" t="s">
        <v>571</v>
      </c>
      <c r="D123" s="54" t="s">
        <v>727</v>
      </c>
      <c r="E123" s="59"/>
      <c r="F123" s="22" t="s">
        <v>244</v>
      </c>
      <c r="G123" s="49" t="s">
        <v>707</v>
      </c>
    </row>
    <row r="124" spans="1:12" ht="37" customHeight="1" x14ac:dyDescent="0.4">
      <c r="A124" s="16">
        <v>122</v>
      </c>
      <c r="B124" s="49" t="s">
        <v>572</v>
      </c>
      <c r="C124" s="49"/>
      <c r="D124" s="54"/>
      <c r="E124" s="59"/>
      <c r="F124" s="22" t="s">
        <v>244</v>
      </c>
      <c r="G124" s="49" t="s">
        <v>707</v>
      </c>
    </row>
    <row r="125" spans="1:12" ht="37" customHeight="1" x14ac:dyDescent="0.4">
      <c r="A125" s="16">
        <v>123</v>
      </c>
      <c r="B125" s="49" t="s">
        <v>573</v>
      </c>
      <c r="C125" s="49" t="s">
        <v>574</v>
      </c>
      <c r="D125" s="54" t="s">
        <v>728</v>
      </c>
      <c r="E125" s="59"/>
      <c r="F125" s="22" t="s">
        <v>244</v>
      </c>
      <c r="G125" s="49" t="s">
        <v>707</v>
      </c>
    </row>
    <row r="126" spans="1:12" ht="37" customHeight="1" x14ac:dyDescent="0.4">
      <c r="A126" s="16">
        <v>124</v>
      </c>
      <c r="B126" s="49" t="s">
        <v>575</v>
      </c>
      <c r="C126" s="49" t="s">
        <v>576</v>
      </c>
      <c r="D126" s="54" t="s">
        <v>729</v>
      </c>
      <c r="E126" s="59"/>
      <c r="F126" s="22" t="s">
        <v>244</v>
      </c>
      <c r="G126" s="49" t="s">
        <v>707</v>
      </c>
    </row>
    <row r="127" spans="1:12" ht="37" customHeight="1" x14ac:dyDescent="0.4">
      <c r="A127" s="16">
        <v>125</v>
      </c>
      <c r="B127" s="49" t="s">
        <v>577</v>
      </c>
      <c r="C127" s="49"/>
      <c r="D127" s="54"/>
      <c r="E127" s="59"/>
      <c r="F127" s="22" t="s">
        <v>244</v>
      </c>
      <c r="G127" s="49" t="s">
        <v>707</v>
      </c>
    </row>
    <row r="128" spans="1:12" ht="37" customHeight="1" x14ac:dyDescent="0.4">
      <c r="A128" s="16">
        <v>126</v>
      </c>
      <c r="B128" s="49" t="s">
        <v>578</v>
      </c>
      <c r="C128" s="49" t="s">
        <v>579</v>
      </c>
      <c r="D128" s="54" t="s">
        <v>730</v>
      </c>
      <c r="E128" s="59"/>
      <c r="F128" s="22" t="s">
        <v>244</v>
      </c>
      <c r="G128" s="49" t="s">
        <v>707</v>
      </c>
    </row>
    <row r="129" spans="1:13" ht="37" customHeight="1" x14ac:dyDescent="0.4">
      <c r="A129" s="16">
        <v>127</v>
      </c>
      <c r="B129" s="49" t="s">
        <v>580</v>
      </c>
      <c r="C129" s="49" t="s">
        <v>581</v>
      </c>
      <c r="D129" s="54" t="s">
        <v>731</v>
      </c>
      <c r="E129" s="59"/>
      <c r="F129" s="22" t="s">
        <v>244</v>
      </c>
      <c r="G129" s="49" t="s">
        <v>707</v>
      </c>
    </row>
    <row r="130" spans="1:13" ht="37" customHeight="1" x14ac:dyDescent="0.4">
      <c r="A130" s="16">
        <v>128</v>
      </c>
      <c r="B130" s="49" t="s">
        <v>582</v>
      </c>
      <c r="C130" s="49" t="s">
        <v>583</v>
      </c>
      <c r="D130" s="54" t="s">
        <v>732</v>
      </c>
      <c r="E130" s="59"/>
      <c r="F130" s="22" t="s">
        <v>244</v>
      </c>
      <c r="G130" s="49" t="s">
        <v>707</v>
      </c>
    </row>
    <row r="131" spans="1:13" ht="37" customHeight="1" x14ac:dyDescent="0.4">
      <c r="A131" s="16">
        <v>129</v>
      </c>
      <c r="B131" s="49" t="s">
        <v>584</v>
      </c>
      <c r="C131" s="49" t="s">
        <v>585</v>
      </c>
      <c r="D131" s="54" t="s">
        <v>733</v>
      </c>
      <c r="E131" s="59"/>
      <c r="F131" s="22" t="s">
        <v>244</v>
      </c>
      <c r="G131" s="49" t="s">
        <v>707</v>
      </c>
      <c r="M131" s="71"/>
    </row>
    <row r="132" spans="1:13" ht="37" customHeight="1" x14ac:dyDescent="0.4">
      <c r="A132" s="16">
        <v>130</v>
      </c>
      <c r="B132" s="49" t="s">
        <v>610</v>
      </c>
      <c r="C132" s="49" t="s">
        <v>75</v>
      </c>
      <c r="D132" s="54" t="s">
        <v>751</v>
      </c>
      <c r="E132" s="59"/>
      <c r="F132" s="22" t="s">
        <v>244</v>
      </c>
      <c r="G132" s="49" t="s">
        <v>699</v>
      </c>
      <c r="H132" s="49" t="s">
        <v>738</v>
      </c>
      <c r="I132" s="19" t="s">
        <v>752</v>
      </c>
      <c r="J132" s="19" t="s">
        <v>94</v>
      </c>
      <c r="K132" s="19" t="s">
        <v>597</v>
      </c>
      <c r="L132" s="19" t="s">
        <v>418</v>
      </c>
      <c r="M132" s="70" t="s">
        <v>746</v>
      </c>
    </row>
    <row r="133" spans="1:13" ht="37" customHeight="1" x14ac:dyDescent="0.4">
      <c r="A133" s="16">
        <v>131</v>
      </c>
      <c r="B133" s="49" t="s">
        <v>690</v>
      </c>
      <c r="C133" s="49" t="s">
        <v>692</v>
      </c>
      <c r="D133" s="54" t="s">
        <v>753</v>
      </c>
      <c r="E133" s="59"/>
      <c r="F133" s="22" t="s">
        <v>244</v>
      </c>
      <c r="G133" s="49" t="s">
        <v>699</v>
      </c>
      <c r="H133" s="49" t="s">
        <v>738</v>
      </c>
      <c r="I133" s="19" t="s">
        <v>691</v>
      </c>
      <c r="J133" s="19" t="s">
        <v>94</v>
      </c>
      <c r="K133" s="19" t="s">
        <v>702</v>
      </c>
      <c r="L133" s="19" t="s">
        <v>737</v>
      </c>
      <c r="M133" s="70" t="s">
        <v>746</v>
      </c>
    </row>
    <row r="134" spans="1:13" ht="37" customHeight="1" x14ac:dyDescent="0.4">
      <c r="A134" s="16">
        <v>132</v>
      </c>
      <c r="B134" s="49" t="s">
        <v>693</v>
      </c>
      <c r="C134" s="49" t="s">
        <v>694</v>
      </c>
      <c r="D134" s="54" t="s">
        <v>753</v>
      </c>
      <c r="E134" s="59"/>
      <c r="F134" s="22" t="s">
        <v>244</v>
      </c>
      <c r="G134" s="49" t="s">
        <v>699</v>
      </c>
      <c r="H134" s="49" t="s">
        <v>738</v>
      </c>
      <c r="I134" s="19" t="s">
        <v>754</v>
      </c>
      <c r="J134" s="19" t="s">
        <v>249</v>
      </c>
      <c r="K134" s="19" t="s">
        <v>597</v>
      </c>
      <c r="L134" s="19" t="s">
        <v>418</v>
      </c>
      <c r="M134" s="70" t="s">
        <v>746</v>
      </c>
    </row>
    <row r="135" spans="1:13" ht="37" customHeight="1" x14ac:dyDescent="0.4">
      <c r="A135" s="16">
        <v>133</v>
      </c>
      <c r="B135" s="14" t="s">
        <v>755</v>
      </c>
      <c r="C135" s="49" t="s">
        <v>756</v>
      </c>
      <c r="D135" s="54" t="s">
        <v>757</v>
      </c>
      <c r="E135" s="59"/>
      <c r="F135" s="23"/>
      <c r="G135" s="49" t="s">
        <v>705</v>
      </c>
      <c r="H135" s="49" t="s">
        <v>767</v>
      </c>
      <c r="I135" s="19" t="s">
        <v>737</v>
      </c>
      <c r="J135" s="19" t="s">
        <v>94</v>
      </c>
      <c r="K135" s="19" t="s">
        <v>597</v>
      </c>
      <c r="L135" s="19" t="s">
        <v>737</v>
      </c>
    </row>
    <row r="136" spans="1:13" ht="37" customHeight="1" x14ac:dyDescent="0.4">
      <c r="A136" s="16">
        <v>134</v>
      </c>
      <c r="B136" s="19" t="s">
        <v>758</v>
      </c>
      <c r="C136" s="49" t="s">
        <v>759</v>
      </c>
      <c r="D136" s="54" t="s">
        <v>760</v>
      </c>
      <c r="E136" s="59"/>
      <c r="F136" s="23"/>
      <c r="G136" s="49" t="s">
        <v>698</v>
      </c>
      <c r="H136" s="49" t="s">
        <v>767</v>
      </c>
      <c r="I136" s="19" t="s">
        <v>418</v>
      </c>
      <c r="J136" s="19" t="s">
        <v>418</v>
      </c>
      <c r="K136" s="19" t="s">
        <v>418</v>
      </c>
      <c r="L136" s="19" t="s">
        <v>418</v>
      </c>
    </row>
    <row r="137" spans="1:13" ht="37" customHeight="1" x14ac:dyDescent="0.4">
      <c r="A137" s="16">
        <v>135</v>
      </c>
      <c r="B137" s="49" t="s">
        <v>761</v>
      </c>
      <c r="C137" s="9" t="s">
        <v>762</v>
      </c>
      <c r="D137" s="54" t="s">
        <v>763</v>
      </c>
      <c r="E137" s="59"/>
      <c r="F137" s="23"/>
      <c r="G137" s="49" t="s">
        <v>698</v>
      </c>
      <c r="H137" s="49" t="s">
        <v>767</v>
      </c>
      <c r="I137" s="19" t="s">
        <v>737</v>
      </c>
      <c r="J137" s="19" t="s">
        <v>94</v>
      </c>
      <c r="K137" s="19" t="s">
        <v>702</v>
      </c>
      <c r="L137" s="19" t="s">
        <v>737</v>
      </c>
    </row>
    <row r="138" spans="1:13" ht="37" customHeight="1" x14ac:dyDescent="0.4">
      <c r="A138" s="16">
        <v>136</v>
      </c>
      <c r="B138" s="49" t="s">
        <v>764</v>
      </c>
      <c r="C138" s="49" t="s">
        <v>765</v>
      </c>
      <c r="D138" s="27" t="s">
        <v>766</v>
      </c>
      <c r="E138" s="59"/>
      <c r="F138" s="23"/>
      <c r="G138" s="49" t="s">
        <v>705</v>
      </c>
      <c r="H138" s="49" t="s">
        <v>767</v>
      </c>
      <c r="I138" s="19" t="s">
        <v>737</v>
      </c>
      <c r="J138" s="19" t="s">
        <v>94</v>
      </c>
      <c r="K138" s="19" t="s">
        <v>702</v>
      </c>
      <c r="L138" s="19" t="s">
        <v>768</v>
      </c>
    </row>
    <row r="139" spans="1:13" ht="37" customHeight="1" x14ac:dyDescent="0.4">
      <c r="A139" s="16">
        <v>137</v>
      </c>
      <c r="B139" s="49" t="s">
        <v>769</v>
      </c>
      <c r="C139" s="49" t="s">
        <v>770</v>
      </c>
      <c r="D139" s="54" t="s">
        <v>771</v>
      </c>
      <c r="E139" s="59"/>
      <c r="F139" s="23"/>
      <c r="G139" s="49" t="s">
        <v>772</v>
      </c>
      <c r="H139" s="49" t="s">
        <v>737</v>
      </c>
      <c r="I139" s="49" t="s">
        <v>737</v>
      </c>
      <c r="J139" s="49" t="s">
        <v>737</v>
      </c>
      <c r="K139" s="49" t="s">
        <v>737</v>
      </c>
      <c r="L139" s="49" t="s">
        <v>737</v>
      </c>
    </row>
    <row r="140" spans="1:13" ht="37" customHeight="1" x14ac:dyDescent="0.4">
      <c r="A140" s="16">
        <v>138</v>
      </c>
      <c r="B140" s="49" t="s">
        <v>773</v>
      </c>
      <c r="C140" s="49" t="s">
        <v>774</v>
      </c>
      <c r="D140" s="54" t="s">
        <v>775</v>
      </c>
      <c r="E140" s="59"/>
      <c r="F140" s="23"/>
      <c r="G140" s="49" t="s">
        <v>705</v>
      </c>
      <c r="H140" s="49" t="s">
        <v>737</v>
      </c>
      <c r="I140" s="49" t="s">
        <v>737</v>
      </c>
      <c r="J140" s="49" t="s">
        <v>737</v>
      </c>
      <c r="K140" s="49" t="s">
        <v>737</v>
      </c>
      <c r="L140" s="49" t="s">
        <v>737</v>
      </c>
    </row>
    <row r="141" spans="1:13" ht="37" customHeight="1" x14ac:dyDescent="0.4">
      <c r="A141" s="16">
        <v>139</v>
      </c>
      <c r="B141" s="49" t="s">
        <v>776</v>
      </c>
      <c r="C141" s="49" t="s">
        <v>777</v>
      </c>
      <c r="D141" s="27" t="s">
        <v>778</v>
      </c>
      <c r="E141" s="59"/>
      <c r="F141" s="23"/>
      <c r="G141" s="49" t="s">
        <v>772</v>
      </c>
      <c r="H141" s="49" t="s">
        <v>737</v>
      </c>
    </row>
    <row r="142" spans="1:13" ht="37" customHeight="1" x14ac:dyDescent="0.4">
      <c r="A142" s="16">
        <v>140</v>
      </c>
      <c r="B142" s="49"/>
      <c r="C142" s="49"/>
      <c r="D142" s="54"/>
      <c r="E142" s="59"/>
      <c r="F142" s="23"/>
      <c r="G142" s="49"/>
    </row>
    <row r="143" spans="1:13" ht="37" customHeight="1" x14ac:dyDescent="0.4">
      <c r="A143" s="16">
        <v>141</v>
      </c>
      <c r="B143" s="49"/>
      <c r="C143" s="49"/>
      <c r="D143" s="54"/>
      <c r="E143" s="59"/>
      <c r="F143" s="23"/>
      <c r="G143" s="49"/>
    </row>
    <row r="144" spans="1:13" ht="37" customHeight="1" x14ac:dyDescent="0.4">
      <c r="A144" s="16">
        <v>142</v>
      </c>
      <c r="B144" s="49"/>
      <c r="C144" s="49"/>
      <c r="D144" s="54"/>
      <c r="E144" s="59"/>
      <c r="F144" s="23"/>
      <c r="G144" s="49"/>
    </row>
    <row r="145" spans="1:7" ht="37" customHeight="1" x14ac:dyDescent="0.4">
      <c r="A145" s="16">
        <v>143</v>
      </c>
      <c r="B145" s="49"/>
      <c r="C145" s="49"/>
      <c r="D145" s="54"/>
      <c r="E145" s="59"/>
      <c r="F145" s="23"/>
      <c r="G145" s="49"/>
    </row>
    <row r="146" spans="1:7" ht="37" customHeight="1" x14ac:dyDescent="0.4">
      <c r="A146" s="16">
        <v>144</v>
      </c>
      <c r="B146" s="49"/>
      <c r="C146" s="49"/>
      <c r="D146" s="54"/>
      <c r="E146" s="59"/>
      <c r="F146" s="23"/>
      <c r="G146" s="49"/>
    </row>
    <row r="147" spans="1:7" ht="37" customHeight="1" x14ac:dyDescent="0.4">
      <c r="A147" s="16">
        <v>145</v>
      </c>
      <c r="B147" s="49"/>
      <c r="C147" s="49"/>
      <c r="D147" s="54"/>
      <c r="E147" s="59"/>
      <c r="F147" s="23"/>
      <c r="G147" s="49"/>
    </row>
    <row r="148" spans="1:7" ht="37" customHeight="1" x14ac:dyDescent="0.4">
      <c r="A148" s="16">
        <v>146</v>
      </c>
      <c r="B148" s="49"/>
      <c r="C148" s="49"/>
      <c r="D148" s="54"/>
      <c r="E148" s="59"/>
      <c r="F148" s="23"/>
      <c r="G148" s="49"/>
    </row>
    <row r="149" spans="1:7" ht="37" customHeight="1" x14ac:dyDescent="0.4">
      <c r="A149" s="16">
        <v>147</v>
      </c>
      <c r="B149" s="49"/>
      <c r="C149" s="49"/>
      <c r="D149" s="54"/>
      <c r="E149" s="59"/>
      <c r="F149" s="23"/>
      <c r="G149" s="49"/>
    </row>
    <row r="150" spans="1:7" ht="37" customHeight="1" x14ac:dyDescent="0.4">
      <c r="A150" s="16">
        <v>148</v>
      </c>
      <c r="B150" s="49"/>
      <c r="C150" s="49"/>
      <c r="D150" s="54"/>
      <c r="E150" s="59"/>
      <c r="F150" s="23"/>
      <c r="G150" s="49"/>
    </row>
    <row r="151" spans="1:7" ht="37" customHeight="1" x14ac:dyDescent="0.4">
      <c r="A151" s="16">
        <v>149</v>
      </c>
      <c r="B151" s="49"/>
      <c r="C151" s="49"/>
      <c r="D151" s="54"/>
      <c r="E151" s="59"/>
      <c r="F151" s="23"/>
      <c r="G151" s="49"/>
    </row>
    <row r="152" spans="1:7" ht="37" customHeight="1" x14ac:dyDescent="0.4">
      <c r="A152" s="16">
        <v>150</v>
      </c>
      <c r="B152" s="49"/>
      <c r="C152" s="49"/>
      <c r="D152" s="54"/>
      <c r="E152" s="59"/>
      <c r="F152" s="23"/>
      <c r="G152" s="49"/>
    </row>
    <row r="153" spans="1:7" ht="37" customHeight="1" x14ac:dyDescent="0.4">
      <c r="A153" s="16">
        <v>151</v>
      </c>
      <c r="B153" s="49"/>
      <c r="C153" s="49"/>
      <c r="D153" s="54"/>
      <c r="E153" s="59"/>
      <c r="F153" s="23"/>
      <c r="G153" s="49"/>
    </row>
    <row r="154" spans="1:7" ht="37" customHeight="1" x14ac:dyDescent="0.4">
      <c r="A154" s="16">
        <v>152</v>
      </c>
      <c r="B154" s="49"/>
      <c r="C154" s="49"/>
      <c r="D154" s="54"/>
      <c r="E154" s="59"/>
      <c r="F154" s="23"/>
      <c r="G154" s="49"/>
    </row>
    <row r="155" spans="1:7" ht="37" customHeight="1" x14ac:dyDescent="0.4">
      <c r="A155" s="16">
        <v>153</v>
      </c>
      <c r="B155" s="49"/>
      <c r="C155" s="49"/>
      <c r="D155" s="54"/>
      <c r="E155" s="59"/>
      <c r="F155" s="23"/>
      <c r="G155" s="49"/>
    </row>
    <row r="156" spans="1:7" ht="37" customHeight="1" x14ac:dyDescent="0.4">
      <c r="A156" s="16">
        <v>154</v>
      </c>
      <c r="B156" s="49"/>
      <c r="C156" s="49"/>
      <c r="D156" s="54"/>
      <c r="E156" s="59"/>
      <c r="F156" s="23"/>
      <c r="G156" s="49"/>
    </row>
    <row r="157" spans="1:7" ht="37" customHeight="1" x14ac:dyDescent="0.4">
      <c r="A157" s="16">
        <v>155</v>
      </c>
      <c r="B157" s="49"/>
      <c r="C157" s="49"/>
      <c r="D157" s="54"/>
      <c r="E157" s="59"/>
      <c r="F157" s="23"/>
      <c r="G157" s="49"/>
    </row>
    <row r="158" spans="1:7" ht="37" customHeight="1" x14ac:dyDescent="0.4">
      <c r="A158" s="16">
        <v>156</v>
      </c>
      <c r="B158" s="49"/>
      <c r="C158" s="49"/>
      <c r="D158" s="54"/>
      <c r="E158" s="59"/>
      <c r="F158" s="23"/>
      <c r="G158" s="49"/>
    </row>
    <row r="159" spans="1:7" ht="37" customHeight="1" x14ac:dyDescent="0.4">
      <c r="A159" s="16">
        <v>157</v>
      </c>
      <c r="B159" s="49"/>
      <c r="C159" s="49"/>
      <c r="D159" s="54"/>
      <c r="E159" s="59"/>
      <c r="F159" s="23"/>
      <c r="G159" s="49"/>
    </row>
    <row r="160" spans="1:7" ht="37" customHeight="1" x14ac:dyDescent="0.4">
      <c r="A160" s="16">
        <v>158</v>
      </c>
      <c r="B160" s="49"/>
      <c r="C160" s="49"/>
      <c r="D160" s="54"/>
      <c r="E160" s="59"/>
      <c r="F160" s="23"/>
      <c r="G160" s="49"/>
    </row>
    <row r="161" spans="1:7" ht="37" customHeight="1" x14ac:dyDescent="0.4">
      <c r="A161" s="16">
        <v>159</v>
      </c>
      <c r="B161" s="49"/>
      <c r="C161" s="49"/>
      <c r="D161" s="54"/>
      <c r="E161" s="59"/>
      <c r="F161" s="23"/>
      <c r="G161" s="49"/>
    </row>
    <row r="162" spans="1:7" ht="37" customHeight="1" x14ac:dyDescent="0.4">
      <c r="A162" s="16">
        <v>160</v>
      </c>
      <c r="B162" s="49"/>
      <c r="C162" s="49"/>
      <c r="D162" s="54"/>
      <c r="E162" s="59"/>
      <c r="F162" s="23"/>
      <c r="G162" s="49"/>
    </row>
    <row r="163" spans="1:7" ht="37" customHeight="1" x14ac:dyDescent="0.4">
      <c r="A163" s="16">
        <v>161</v>
      </c>
      <c r="B163" s="49"/>
      <c r="C163" s="49"/>
      <c r="D163" s="54"/>
      <c r="E163" s="59"/>
      <c r="F163" s="23"/>
      <c r="G163" s="49"/>
    </row>
    <row r="164" spans="1:7" ht="37" customHeight="1" x14ac:dyDescent="0.4">
      <c r="A164" s="16">
        <v>162</v>
      </c>
      <c r="B164" s="49"/>
      <c r="C164" s="49"/>
      <c r="D164" s="54"/>
      <c r="E164" s="59"/>
      <c r="F164" s="23"/>
      <c r="G164" s="49"/>
    </row>
    <row r="165" spans="1:7" ht="37" customHeight="1" x14ac:dyDescent="0.4">
      <c r="A165" s="16">
        <v>163</v>
      </c>
      <c r="B165" s="49"/>
      <c r="C165" s="49"/>
      <c r="D165" s="54"/>
      <c r="E165" s="59"/>
      <c r="F165" s="23"/>
      <c r="G165" s="49"/>
    </row>
    <row r="166" spans="1:7" ht="37" customHeight="1" x14ac:dyDescent="0.4">
      <c r="A166" s="16"/>
      <c r="B166" s="49"/>
      <c r="C166" s="49"/>
      <c r="D166" s="54"/>
      <c r="E166" s="59"/>
      <c r="F166" s="23"/>
      <c r="G166" s="49"/>
    </row>
  </sheetData>
  <mergeCells count="1">
    <mergeCell ref="A1:M1"/>
  </mergeCells>
  <hyperlinks>
    <hyperlink ref="E3" r:id="rId1" xr:uid="{1E658EFD-95E9-492E-9EAA-CA270F321AF4}"/>
    <hyperlink ref="E4" r:id="rId2" xr:uid="{6C6819F5-EE53-4F2D-9099-6C10B57ED8D6}"/>
    <hyperlink ref="E5" r:id="rId3" xr:uid="{1659F83F-3023-4EC7-902D-F0485F9B222B}"/>
    <hyperlink ref="E9" r:id="rId4" xr:uid="{33041643-EAC2-47FB-8E67-95F85E1C2700}"/>
    <hyperlink ref="E8" r:id="rId5" xr:uid="{EBC43108-F30A-4B6C-B4DD-D9DD26295BAD}"/>
    <hyperlink ref="E12" r:id="rId6" xr:uid="{FF407C6D-8D59-43BB-8FE9-773182ACDB14}"/>
    <hyperlink ref="E13" r:id="rId7" xr:uid="{1EAA376C-FBC7-436F-B7F6-91F7BA3BD1E6}"/>
    <hyperlink ref="E14" r:id="rId8" xr:uid="{5E522346-6A5E-4018-B261-0498B2717764}"/>
    <hyperlink ref="E15" r:id="rId9" xr:uid="{D8983351-2E1E-44B8-A206-EFD1D4034193}"/>
    <hyperlink ref="E16" r:id="rId10" xr:uid="{5BB2126A-96BB-4D01-A710-77658385453A}"/>
    <hyperlink ref="E17" r:id="rId11" xr:uid="{B7ACD8AF-976C-4B96-9B62-B6544675FBC9}"/>
    <hyperlink ref="E18" r:id="rId12" xr:uid="{C6E0F648-0BAE-49CB-8538-6A9644C4D1E2}"/>
    <hyperlink ref="E19" r:id="rId13" xr:uid="{1A7CB2AC-C636-49DD-8E1D-8F7696D7DEA8}"/>
    <hyperlink ref="E20" r:id="rId14" xr:uid="{FD0D3467-E905-4CA7-B638-B250B47D4401}"/>
    <hyperlink ref="E21" r:id="rId15" xr:uid="{C6775A06-09FE-4796-BAAD-C3BB5D0AC0E5}"/>
    <hyperlink ref="E25" r:id="rId16" xr:uid="{47D1386B-FF0B-4169-ABC0-3F063135EDD4}"/>
    <hyperlink ref="E23" r:id="rId17" xr:uid="{028FF178-16EB-4FA9-A9E5-0AB8720F7B49}"/>
    <hyperlink ref="E26" r:id="rId18" xr:uid="{6D672AE7-4D19-4514-95BB-97D002B8FCA8}"/>
    <hyperlink ref="E27" r:id="rId19" xr:uid="{433317C9-DAD2-470F-94D4-806F555440C6}"/>
    <hyperlink ref="E28" r:id="rId20" xr:uid="{A4F1D9E4-9E70-4A27-8567-3F164A64579D}"/>
    <hyperlink ref="E29" r:id="rId21" xr:uid="{E4B8FF28-CAA9-4AFE-B039-A18C52A3124B}"/>
    <hyperlink ref="E30" r:id="rId22" xr:uid="{D82AF014-9CD7-45FE-BE4C-0BD1C1CF1DBA}"/>
    <hyperlink ref="E33" r:id="rId23" xr:uid="{CD7D2882-61E3-4F41-AD3E-75582EE591DD}"/>
    <hyperlink ref="E34" r:id="rId24" xr:uid="{5F897F00-375D-C14E-8BC6-AD00AB776228}"/>
    <hyperlink ref="E35" r:id="rId25" xr:uid="{A0C61CBD-1F71-324A-9DFD-25E08FD7D940}"/>
    <hyperlink ref="E36" r:id="rId26" xr:uid="{B6141FC3-A0E9-EB45-A471-F83FEE7625EF}"/>
    <hyperlink ref="E37" r:id="rId27" display="mailto:brasil.info@metso.com" xr:uid="{DCC9D0EB-6C55-934C-8616-D84F825A1817}"/>
    <hyperlink ref="E38" r:id="rId28" display="mailto:contato@clarios.com" xr:uid="{943A1025-B41B-014D-A9BF-420C16E26DA7}"/>
    <hyperlink ref="E39" r:id="rId29" xr:uid="{E58D250D-F4E8-3944-924B-B7761F18C4E0}"/>
    <hyperlink ref="E40" r:id="rId30" xr:uid="{ABFC6397-287C-534D-B732-160C045E26E6}"/>
    <hyperlink ref="E41" r:id="rId31" xr:uid="{DA60B32A-8BC2-E64E-AD6B-1AF941C45D42}"/>
    <hyperlink ref="E42" r:id="rId32" display="mailto:contato@nissin.com.br" xr:uid="{A3E5B6BA-75A9-5345-BBD7-D4B0CFC63681}"/>
    <hyperlink ref="E43" r:id="rId33" display="mailto:contato@amcor.com" xr:uid="{6142699A-8D45-1A4A-A99F-BED84BB3D6FC}"/>
    <hyperlink ref="E44" r:id="rId34" display="mailto:sac@unilever.com" xr:uid="{E9C48BEC-6900-C048-B90F-16DF69C463A8}"/>
    <hyperlink ref="E45" r:id="rId35" display="mailto:contato@johndeere.com" xr:uid="{5F8C114D-7A3C-8E4C-86BA-8A29F735DF40}"/>
    <hyperlink ref="E46" r:id="rId36" xr:uid="{C2CD9517-E8CD-114C-99B7-BD2F74407E92}"/>
    <hyperlink ref="E47" r:id="rId37" display="mailto:contato@dhl.com" xr:uid="{E53DD1D9-AABD-1A43-A31E-CE953DD81D29}"/>
    <hyperlink ref="E48" r:id="rId38" xr:uid="{A81AD4A6-F468-AF4A-9D1A-340FA141A0D4}"/>
    <hyperlink ref="E49" r:id="rId39" display="mailto:contato@amazon.com.br" xr:uid="{F8FE14E1-F340-EA47-B234-7C4151D33804}"/>
    <hyperlink ref="E50" r:id="rId40" display="mailto:contato@magazineluiza.com.br" xr:uid="{6C76AE4B-DAF1-4342-8CAC-6D77849F77E5}"/>
    <hyperlink ref="E51" r:id="rId41" display="mailto:contato@cevalogistics.com" xr:uid="{D43039EA-C319-1B40-8B50-8FA86FA7B67A}"/>
    <hyperlink ref="E52" r:id="rId42" display="mailto:contato@crowncork.com" xr:uid="{D60B4C3D-7354-C142-AC80-F1700C57C95D}"/>
    <hyperlink ref="E53" r:id="rId43" display="mailto:contato@tetrapak.com" xr:uid="{E5E46EA3-32C5-3243-AB7B-04880F2B2461}"/>
    <hyperlink ref="E54" r:id="rId44" display="mailto:contato@brasilata.com.br" xr:uid="{5153749B-D23B-3840-8064-A6418778E868}"/>
    <hyperlink ref="E55" r:id="rId45" display="mailto:klabin@klabin.com.br" xr:uid="{15C02F15-3861-2B4C-B32F-A1894A0B473E}"/>
    <hyperlink ref="E56" r:id="rId46" display="mailto:atendimento@pepsico.com" xr:uid="{E140D561-58C7-8949-9C4C-9787E75BCE84}"/>
    <hyperlink ref="E57" r:id="rId47" xr:uid="{A8892C03-4662-2640-A7A7-6C583FE3A31B}"/>
    <hyperlink ref="E58" r:id="rId48" display="mailto:contato@ype.com.br" xr:uid="{418C5B3C-8B47-2B43-A01A-203FEEBDC31C}"/>
    <hyperlink ref="E60" r:id="rId49" xr:uid="{0C104630-E762-4F4E-9F93-FDE33035D390}"/>
    <hyperlink ref="E59" r:id="rId50" xr:uid="{F9A65BBE-2E50-4F2A-B588-4985DF877A3A}"/>
    <hyperlink ref="E62" r:id="rId51" xr:uid="{3E87FAA7-FD9C-48FE-8137-DEC388C4CA6B}"/>
    <hyperlink ref="E63" r:id="rId52" xr:uid="{3EED88A3-9C8A-422B-8567-06FB2A124B61}"/>
    <hyperlink ref="E64" r:id="rId53" xr:uid="{94D70E5B-9050-443A-9F68-1EDDB3F68FFE}"/>
    <hyperlink ref="E65" r:id="rId54" xr:uid="{FB227CA0-3AFF-4F41-9812-DBDDD7C9A675}"/>
    <hyperlink ref="E67" r:id="rId55" xr:uid="{3A3FD8A8-898E-45B8-872F-B1DEE48ECAB1}"/>
    <hyperlink ref="E68" r:id="rId56" xr:uid="{554082A5-6402-4899-920B-CB8EC3F7B627}"/>
    <hyperlink ref="E74" r:id="rId57" xr:uid="{3C4A758C-616F-47CE-984D-75DF814E210E}"/>
    <hyperlink ref="E71" r:id="rId58" xr:uid="{FFA819C7-5795-4096-8781-A00DF425B029}"/>
    <hyperlink ref="E98" r:id="rId59" xr:uid="{E5669EC7-AC52-4C82-839F-3FF247175D86}"/>
    <hyperlink ref="E73" r:id="rId60" xr:uid="{16F70566-3350-4B4B-B338-1BD5938FD928}"/>
    <hyperlink ref="E100" r:id="rId61" xr:uid="{DA5B7D25-C757-4BA1-BE0E-97B04D10B746}"/>
  </hyperlinks>
  <pageMargins left="0.7" right="0.7" top="0.75" bottom="0.75" header="0.3" footer="0.3"/>
  <pageSetup paperSize="9" orientation="portrait" r:id="rId62"/>
  <drawing r:id="rId63"/>
  <tableParts count="1">
    <tablePart r:id="rId6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AEC2-FB56-4003-8014-16C0A8EF486C}">
  <dimension ref="A1:H10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defaultColWidth="11" defaultRowHeight="16" x14ac:dyDescent="0.4"/>
  <cols>
    <col min="1" max="1" width="38.33203125" style="72" customWidth="1"/>
    <col min="2" max="2" width="29.9140625" style="72" customWidth="1"/>
    <col min="3" max="3" width="23.5" style="72" customWidth="1"/>
    <col min="4" max="4" width="24.08203125" style="72" customWidth="1"/>
    <col min="5" max="5" width="16.33203125" style="72" customWidth="1"/>
    <col min="6" max="6" width="19.08203125" style="72" customWidth="1"/>
    <col min="7" max="7" width="17.5" style="72" customWidth="1"/>
    <col min="8" max="8" width="26.83203125" style="72" customWidth="1"/>
  </cols>
  <sheetData>
    <row r="1" spans="1:8" ht="37" customHeight="1" x14ac:dyDescent="0.4">
      <c r="A1" s="81" t="s">
        <v>779</v>
      </c>
      <c r="B1" s="77"/>
      <c r="C1" s="77"/>
      <c r="D1" s="77"/>
      <c r="E1" s="77"/>
      <c r="F1" s="77"/>
      <c r="G1" s="77"/>
      <c r="H1" s="77"/>
    </row>
    <row r="2" spans="1:8" s="68" customFormat="1" ht="29.5" customHeight="1" x14ac:dyDescent="0.4">
      <c r="A2" s="79" t="s">
        <v>2</v>
      </c>
      <c r="B2" s="79" t="s">
        <v>586</v>
      </c>
      <c r="C2" s="79" t="s">
        <v>587</v>
      </c>
      <c r="D2" s="80" t="s">
        <v>588</v>
      </c>
      <c r="E2" s="80" t="s">
        <v>589</v>
      </c>
      <c r="F2" s="80" t="s">
        <v>590</v>
      </c>
      <c r="G2" s="80" t="s">
        <v>591</v>
      </c>
      <c r="H2" s="80" t="s">
        <v>592</v>
      </c>
    </row>
    <row r="3" spans="1:8" ht="29" x14ac:dyDescent="0.4">
      <c r="A3" s="73" t="s">
        <v>593</v>
      </c>
      <c r="B3" s="73" t="s">
        <v>594</v>
      </c>
      <c r="C3" s="73" t="s">
        <v>595</v>
      </c>
      <c r="D3" s="73" t="s">
        <v>596</v>
      </c>
      <c r="E3" s="74" t="s">
        <v>597</v>
      </c>
      <c r="F3" s="78">
        <v>460</v>
      </c>
      <c r="G3" s="74" t="s">
        <v>598</v>
      </c>
      <c r="H3" s="74" t="s">
        <v>599</v>
      </c>
    </row>
    <row r="4" spans="1:8" ht="29" x14ac:dyDescent="0.4">
      <c r="A4" s="73" t="s">
        <v>600</v>
      </c>
      <c r="B4" s="73" t="s">
        <v>601</v>
      </c>
      <c r="C4" s="73" t="s">
        <v>467</v>
      </c>
      <c r="D4" s="74" t="s">
        <v>780</v>
      </c>
      <c r="E4" s="75">
        <v>0.6</v>
      </c>
      <c r="F4" s="73" t="s">
        <v>602</v>
      </c>
      <c r="G4" s="74"/>
      <c r="H4" s="73" t="s">
        <v>603</v>
      </c>
    </row>
    <row r="5" spans="1:8" ht="41.25" customHeight="1" x14ac:dyDescent="0.4">
      <c r="A5" s="73" t="s">
        <v>604</v>
      </c>
      <c r="B5" s="73" t="s">
        <v>605</v>
      </c>
      <c r="C5" s="49" t="s">
        <v>738</v>
      </c>
      <c r="D5" s="74" t="s">
        <v>606</v>
      </c>
      <c r="E5" s="74" t="s">
        <v>597</v>
      </c>
      <c r="F5" s="74" t="s">
        <v>607</v>
      </c>
      <c r="G5" s="73" t="s">
        <v>608</v>
      </c>
      <c r="H5" s="73" t="s">
        <v>609</v>
      </c>
    </row>
    <row r="6" spans="1:8" ht="23.25" customHeight="1" x14ac:dyDescent="0.4">
      <c r="A6" s="73" t="s">
        <v>610</v>
      </c>
      <c r="B6" s="73" t="s">
        <v>75</v>
      </c>
      <c r="C6" s="49" t="s">
        <v>738</v>
      </c>
      <c r="D6" s="73" t="s">
        <v>606</v>
      </c>
      <c r="E6" s="74" t="s">
        <v>597</v>
      </c>
      <c r="F6" s="73" t="s">
        <v>611</v>
      </c>
      <c r="G6" s="73" t="s">
        <v>612</v>
      </c>
      <c r="H6" s="73" t="s">
        <v>613</v>
      </c>
    </row>
    <row r="7" spans="1:8" ht="58" x14ac:dyDescent="0.4">
      <c r="A7" s="73" t="s">
        <v>614</v>
      </c>
      <c r="B7" s="74" t="s">
        <v>615</v>
      </c>
      <c r="C7" s="73" t="s">
        <v>616</v>
      </c>
      <c r="D7" s="73" t="s">
        <v>617</v>
      </c>
      <c r="E7" s="74" t="s">
        <v>597</v>
      </c>
      <c r="F7" s="78">
        <v>1800</v>
      </c>
      <c r="G7" s="74" t="s">
        <v>618</v>
      </c>
      <c r="H7" s="73" t="s">
        <v>619</v>
      </c>
    </row>
    <row r="8" spans="1:8" ht="29" x14ac:dyDescent="0.4">
      <c r="A8" s="74" t="s">
        <v>414</v>
      </c>
      <c r="B8" s="73" t="s">
        <v>620</v>
      </c>
      <c r="C8" s="49" t="s">
        <v>738</v>
      </c>
      <c r="D8" s="73" t="s">
        <v>781</v>
      </c>
      <c r="E8" s="74" t="s">
        <v>597</v>
      </c>
      <c r="F8" s="74" t="s">
        <v>611</v>
      </c>
      <c r="G8" s="74"/>
      <c r="H8" s="73" t="s">
        <v>621</v>
      </c>
    </row>
    <row r="9" spans="1:8" ht="29" x14ac:dyDescent="0.4">
      <c r="A9" s="73" t="s">
        <v>690</v>
      </c>
      <c r="B9" s="73" t="s">
        <v>692</v>
      </c>
      <c r="C9" s="49" t="s">
        <v>738</v>
      </c>
      <c r="D9" s="76" t="s">
        <v>691</v>
      </c>
      <c r="E9" s="73" t="s">
        <v>695</v>
      </c>
      <c r="F9" s="73" t="s">
        <v>611</v>
      </c>
      <c r="G9" s="73"/>
      <c r="H9" s="73" t="s">
        <v>621</v>
      </c>
    </row>
    <row r="10" spans="1:8" ht="29" x14ac:dyDescent="0.4">
      <c r="A10" s="73" t="s">
        <v>693</v>
      </c>
      <c r="B10" s="73" t="s">
        <v>694</v>
      </c>
      <c r="C10" s="49" t="s">
        <v>738</v>
      </c>
      <c r="D10" s="73" t="s">
        <v>782</v>
      </c>
      <c r="E10" s="73" t="s">
        <v>597</v>
      </c>
      <c r="F10" s="73" t="s">
        <v>611</v>
      </c>
      <c r="G10" s="73"/>
      <c r="H10" s="73" t="s">
        <v>621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A191-3F2B-7846-9EDE-58308EF1E9D4}">
  <dimension ref="A1:G17"/>
  <sheetViews>
    <sheetView workbookViewId="0">
      <selection activeCell="G3" sqref="G3"/>
    </sheetView>
  </sheetViews>
  <sheetFormatPr defaultColWidth="11" defaultRowHeight="16" x14ac:dyDescent="0.4"/>
  <cols>
    <col min="1" max="1" width="27.58203125" bestFit="1" customWidth="1"/>
    <col min="2" max="2" width="15.83203125" customWidth="1"/>
    <col min="4" max="4" width="30" bestFit="1" customWidth="1"/>
    <col min="5" max="7" width="20.5" style="2" customWidth="1"/>
  </cols>
  <sheetData>
    <row r="1" spans="1:7" x14ac:dyDescent="0.4">
      <c r="D1" s="43" t="s">
        <v>622</v>
      </c>
      <c r="E1" s="44"/>
      <c r="F1" s="44"/>
      <c r="G1" s="45"/>
    </row>
    <row r="2" spans="1:7" ht="29" x14ac:dyDescent="0.4">
      <c r="A2" s="32"/>
      <c r="B2" s="32" t="s">
        <v>623</v>
      </c>
      <c r="D2" s="34" t="s">
        <v>624</v>
      </c>
      <c r="E2" s="35" t="s">
        <v>625</v>
      </c>
      <c r="F2" s="35" t="s">
        <v>626</v>
      </c>
      <c r="G2" s="36" t="s">
        <v>627</v>
      </c>
    </row>
    <row r="3" spans="1:7" x14ac:dyDescent="0.4">
      <c r="A3" s="32" t="s">
        <v>467</v>
      </c>
      <c r="B3" s="33">
        <f>(SUM(E3:G3))/30</f>
        <v>2.2243456666666668</v>
      </c>
      <c r="D3" s="37" t="s">
        <v>467</v>
      </c>
      <c r="E3" s="39">
        <v>18.313850000000002</v>
      </c>
      <c r="F3" s="39">
        <v>31.177890000000005</v>
      </c>
      <c r="G3" s="40">
        <v>17.238630000000001</v>
      </c>
    </row>
    <row r="4" spans="1:7" x14ac:dyDescent="0.4">
      <c r="A4" s="32" t="s">
        <v>628</v>
      </c>
      <c r="B4" s="33">
        <f t="shared" ref="B4:B16" si="0">(SUM(E4:G4))/30</f>
        <v>0.83186333333333318</v>
      </c>
      <c r="D4" s="37" t="s">
        <v>628</v>
      </c>
      <c r="E4" s="39">
        <v>13.967649999999999</v>
      </c>
      <c r="F4" s="39">
        <v>7.83</v>
      </c>
      <c r="G4" s="40">
        <v>3.1582499999999993</v>
      </c>
    </row>
    <row r="5" spans="1:7" x14ac:dyDescent="0.4">
      <c r="A5" s="32" t="s">
        <v>629</v>
      </c>
      <c r="B5" s="33">
        <f t="shared" si="0"/>
        <v>4.1000000000000002E-2</v>
      </c>
      <c r="D5" s="37" t="s">
        <v>629</v>
      </c>
      <c r="E5" s="39">
        <v>0</v>
      </c>
      <c r="F5" s="39">
        <v>1.23</v>
      </c>
      <c r="G5" s="40">
        <v>0</v>
      </c>
    </row>
    <row r="6" spans="1:7" x14ac:dyDescent="0.4">
      <c r="A6" s="32" t="s">
        <v>630</v>
      </c>
      <c r="B6" s="33">
        <f t="shared" si="0"/>
        <v>5.1686333333333341E-2</v>
      </c>
      <c r="D6" s="37" t="s">
        <v>630</v>
      </c>
      <c r="E6" s="39">
        <v>0.74763999999999997</v>
      </c>
      <c r="F6" s="39">
        <v>0.40971000000000002</v>
      </c>
      <c r="G6" s="40">
        <v>0.39324000000000003</v>
      </c>
    </row>
    <row r="7" spans="1:7" x14ac:dyDescent="0.4">
      <c r="A7" s="32" t="s">
        <v>631</v>
      </c>
      <c r="B7" s="33">
        <f t="shared" si="0"/>
        <v>1.32243</v>
      </c>
      <c r="D7" s="37" t="s">
        <v>631</v>
      </c>
      <c r="E7" s="39">
        <v>9.3018300000000007</v>
      </c>
      <c r="F7" s="39">
        <v>20.37</v>
      </c>
      <c r="G7" s="40">
        <v>10.00107</v>
      </c>
    </row>
    <row r="8" spans="1:7" x14ac:dyDescent="0.4">
      <c r="A8" s="32" t="s">
        <v>632</v>
      </c>
      <c r="B8" s="33">
        <f t="shared" si="0"/>
        <v>0.59113499999999997</v>
      </c>
      <c r="D8" s="37" t="s">
        <v>632</v>
      </c>
      <c r="E8" s="39">
        <v>3.0019999999999989</v>
      </c>
      <c r="F8" s="39">
        <v>9.81</v>
      </c>
      <c r="G8" s="40">
        <v>4.9220500000000005</v>
      </c>
    </row>
    <row r="9" spans="1:7" x14ac:dyDescent="0.4">
      <c r="A9" s="32" t="s">
        <v>633</v>
      </c>
      <c r="B9" s="33">
        <f t="shared" si="0"/>
        <v>6.7283333333333336E-3</v>
      </c>
      <c r="D9" s="37" t="s">
        <v>633</v>
      </c>
      <c r="E9" s="39">
        <v>4.045E-2</v>
      </c>
      <c r="F9" s="39">
        <v>0.11</v>
      </c>
      <c r="G9" s="40">
        <v>5.1399999999999994E-2</v>
      </c>
    </row>
    <row r="10" spans="1:7" x14ac:dyDescent="0.4">
      <c r="A10" s="32" t="s">
        <v>634</v>
      </c>
      <c r="B10" s="33">
        <f t="shared" si="0"/>
        <v>0.46857999999999994</v>
      </c>
      <c r="D10" s="37" t="s">
        <v>634</v>
      </c>
      <c r="E10" s="39">
        <v>7.4000000000000003E-3</v>
      </c>
      <c r="F10" s="39">
        <v>4.8499999999999996</v>
      </c>
      <c r="G10" s="40">
        <v>9.1999999999999993</v>
      </c>
    </row>
    <row r="11" spans="1:7" x14ac:dyDescent="0.4">
      <c r="A11" s="32" t="s">
        <v>635</v>
      </c>
      <c r="B11" s="33">
        <f t="shared" si="0"/>
        <v>5.7289333333333331E-2</v>
      </c>
      <c r="D11" s="37" t="s">
        <v>635</v>
      </c>
      <c r="E11" s="39">
        <v>0.86285000000000001</v>
      </c>
      <c r="F11" s="39">
        <v>0.67674999999999996</v>
      </c>
      <c r="G11" s="40">
        <v>0.17908000000000002</v>
      </c>
    </row>
    <row r="12" spans="1:7" x14ac:dyDescent="0.4">
      <c r="A12" s="32" t="s">
        <v>636</v>
      </c>
      <c r="B12" s="33">
        <f t="shared" si="0"/>
        <v>8.3372000000000002E-2</v>
      </c>
      <c r="D12" s="37" t="s">
        <v>636</v>
      </c>
      <c r="E12" s="39">
        <v>0.19205</v>
      </c>
      <c r="F12" s="39">
        <v>1.52</v>
      </c>
      <c r="G12" s="40">
        <v>0.78910999999999987</v>
      </c>
    </row>
    <row r="13" spans="1:7" x14ac:dyDescent="0.4">
      <c r="A13" s="32" t="s">
        <v>637</v>
      </c>
      <c r="B13" s="33">
        <f t="shared" si="0"/>
        <v>0.44766666666666666</v>
      </c>
      <c r="D13" s="37" t="s">
        <v>637</v>
      </c>
      <c r="E13" s="39">
        <v>0</v>
      </c>
      <c r="F13" s="39">
        <v>12.45</v>
      </c>
      <c r="G13" s="40">
        <v>0.98</v>
      </c>
    </row>
    <row r="14" spans="1:7" x14ac:dyDescent="0.4">
      <c r="A14" s="32" t="s">
        <v>638</v>
      </c>
      <c r="B14" s="33">
        <f t="shared" si="0"/>
        <v>9.5924999999999996E-2</v>
      </c>
      <c r="D14" s="37" t="s">
        <v>638</v>
      </c>
      <c r="E14" s="39">
        <v>1.879</v>
      </c>
      <c r="F14" s="39">
        <v>0.47999999999999993</v>
      </c>
      <c r="G14" s="40">
        <v>0.51875000000000004</v>
      </c>
    </row>
    <row r="15" spans="1:7" x14ac:dyDescent="0.4">
      <c r="A15" s="32" t="s">
        <v>639</v>
      </c>
      <c r="B15" s="33">
        <f t="shared" si="0"/>
        <v>7.8288666666666659E-2</v>
      </c>
      <c r="D15" s="37" t="s">
        <v>639</v>
      </c>
      <c r="E15" s="39">
        <v>0.48354999999999998</v>
      </c>
      <c r="F15" s="39">
        <v>1.44</v>
      </c>
      <c r="G15" s="40">
        <v>0.42510999999999988</v>
      </c>
    </row>
    <row r="16" spans="1:7" x14ac:dyDescent="0.4">
      <c r="A16" s="32" t="s">
        <v>640</v>
      </c>
      <c r="B16" s="33">
        <f t="shared" si="0"/>
        <v>2.5949999999999997E-2</v>
      </c>
      <c r="D16" s="37" t="s">
        <v>640</v>
      </c>
      <c r="E16" s="39">
        <v>0</v>
      </c>
      <c r="F16" s="39">
        <v>0.77849999999999997</v>
      </c>
      <c r="G16" s="40">
        <v>0</v>
      </c>
    </row>
    <row r="17" spans="4:7" ht="16.5" thickBot="1" x14ac:dyDescent="0.45">
      <c r="D17" s="38" t="s">
        <v>641</v>
      </c>
      <c r="E17" s="41">
        <v>48.798270000000002</v>
      </c>
      <c r="F17" s="41">
        <v>93.132849999999991</v>
      </c>
      <c r="G17" s="42">
        <v>47.856690000000008</v>
      </c>
    </row>
  </sheetData>
  <mergeCells count="1">
    <mergeCell ref="D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82EB-EB74-DD49-AFCC-44C333C7876E}">
  <dimension ref="A1:F8"/>
  <sheetViews>
    <sheetView showGridLines="0" workbookViewId="0">
      <selection activeCell="H3" sqref="H3"/>
    </sheetView>
  </sheetViews>
  <sheetFormatPr defaultColWidth="8.83203125" defaultRowHeight="14.5" x14ac:dyDescent="0.35"/>
  <cols>
    <col min="1" max="1" width="34.5" style="28" customWidth="1"/>
    <col min="2" max="2" width="39.33203125" style="28" customWidth="1"/>
    <col min="3" max="3" width="41.5" style="28" customWidth="1"/>
    <col min="4" max="4" width="36.83203125" style="28" customWidth="1"/>
    <col min="5" max="5" width="48" style="28" customWidth="1"/>
    <col min="6" max="6" width="26.58203125" style="28" customWidth="1"/>
    <col min="7" max="16384" width="8.83203125" style="28"/>
  </cols>
  <sheetData>
    <row r="1" spans="1:6" ht="36" customHeight="1" x14ac:dyDescent="0.35">
      <c r="A1" s="46" t="s">
        <v>642</v>
      </c>
      <c r="B1" s="47"/>
      <c r="C1" s="47"/>
      <c r="D1" s="47"/>
      <c r="E1" s="47"/>
      <c r="F1" s="47"/>
    </row>
    <row r="2" spans="1:6" x14ac:dyDescent="0.35">
      <c r="A2" s="29" t="s">
        <v>643</v>
      </c>
      <c r="B2" s="29" t="s">
        <v>644</v>
      </c>
      <c r="C2" s="29" t="s">
        <v>645</v>
      </c>
      <c r="D2" s="29" t="s">
        <v>646</v>
      </c>
      <c r="E2" s="29" t="s">
        <v>647</v>
      </c>
      <c r="F2" s="29" t="s">
        <v>648</v>
      </c>
    </row>
    <row r="3" spans="1:6" ht="130.5" x14ac:dyDescent="0.35">
      <c r="A3" s="30" t="s">
        <v>649</v>
      </c>
      <c r="B3" s="30" t="s">
        <v>650</v>
      </c>
      <c r="C3" s="30" t="s">
        <v>651</v>
      </c>
      <c r="D3" s="30" t="s">
        <v>652</v>
      </c>
      <c r="E3" s="31" t="s">
        <v>653</v>
      </c>
      <c r="F3" s="30" t="s">
        <v>654</v>
      </c>
    </row>
    <row r="4" spans="1:6" ht="43.5" x14ac:dyDescent="0.35">
      <c r="A4" s="30" t="s">
        <v>655</v>
      </c>
      <c r="B4" s="30" t="s">
        <v>656</v>
      </c>
      <c r="C4" s="30" t="s">
        <v>657</v>
      </c>
      <c r="D4" s="30" t="s">
        <v>658</v>
      </c>
      <c r="E4" s="31" t="s">
        <v>659</v>
      </c>
      <c r="F4" s="31" t="s">
        <v>660</v>
      </c>
    </row>
    <row r="5" spans="1:6" ht="43.5" x14ac:dyDescent="0.35">
      <c r="A5" s="30" t="s">
        <v>661</v>
      </c>
      <c r="B5" s="30" t="s">
        <v>662</v>
      </c>
      <c r="C5" s="30" t="s">
        <v>663</v>
      </c>
      <c r="D5" s="30" t="s">
        <v>664</v>
      </c>
      <c r="E5" s="30"/>
      <c r="F5" s="30"/>
    </row>
    <row r="6" spans="1:6" ht="58" x14ac:dyDescent="0.35">
      <c r="A6" s="30" t="s">
        <v>665</v>
      </c>
      <c r="B6" s="30" t="s">
        <v>666</v>
      </c>
      <c r="C6" s="30" t="s">
        <v>667</v>
      </c>
      <c r="D6" s="30" t="s">
        <v>668</v>
      </c>
      <c r="E6" s="30"/>
      <c r="F6" s="31" t="s">
        <v>669</v>
      </c>
    </row>
    <row r="7" spans="1:6" ht="58" x14ac:dyDescent="0.35">
      <c r="A7" s="30" t="s">
        <v>670</v>
      </c>
      <c r="B7" s="30" t="s">
        <v>671</v>
      </c>
      <c r="C7" s="30" t="s">
        <v>672</v>
      </c>
      <c r="D7" s="30" t="s">
        <v>673</v>
      </c>
      <c r="E7" s="31"/>
      <c r="F7" s="31" t="s">
        <v>674</v>
      </c>
    </row>
    <row r="8" spans="1:6" ht="43.5" x14ac:dyDescent="0.35">
      <c r="A8" s="30" t="s">
        <v>675</v>
      </c>
      <c r="B8" s="30" t="s">
        <v>676</v>
      </c>
      <c r="C8" s="30" t="s">
        <v>677</v>
      </c>
      <c r="D8" s="30" t="s">
        <v>678</v>
      </c>
      <c r="E8" s="31" t="s">
        <v>679</v>
      </c>
      <c r="F8" s="30"/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0276-94CC-AD40-8F23-522E40C635A8}">
  <dimension ref="B2:B13"/>
  <sheetViews>
    <sheetView workbookViewId="0">
      <selection activeCell="B2" sqref="B2"/>
    </sheetView>
  </sheetViews>
  <sheetFormatPr defaultColWidth="11" defaultRowHeight="16" x14ac:dyDescent="0.4"/>
  <sheetData>
    <row r="2" spans="2:2" ht="16.5" thickBot="1" x14ac:dyDescent="0.45">
      <c r="B2" t="s">
        <v>680</v>
      </c>
    </row>
    <row r="3" spans="2:2" ht="26.5" thickBot="1" x14ac:dyDescent="0.45">
      <c r="B3" s="3" t="s">
        <v>206</v>
      </c>
    </row>
    <row r="4" spans="2:2" ht="26.5" thickBot="1" x14ac:dyDescent="0.45">
      <c r="B4" s="4" t="s">
        <v>210</v>
      </c>
    </row>
    <row r="5" spans="2:2" ht="16.5" thickBot="1" x14ac:dyDescent="0.45">
      <c r="B5" s="4" t="s">
        <v>681</v>
      </c>
    </row>
    <row r="6" spans="2:2" ht="16.5" thickBot="1" x14ac:dyDescent="0.45">
      <c r="B6" s="4" t="s">
        <v>682</v>
      </c>
    </row>
    <row r="7" spans="2:2" ht="16.5" thickBot="1" x14ac:dyDescent="0.45">
      <c r="B7" s="4" t="s">
        <v>683</v>
      </c>
    </row>
    <row r="8" spans="2:2" ht="26.5" thickBot="1" x14ac:dyDescent="0.45">
      <c r="B8" s="4" t="s">
        <v>684</v>
      </c>
    </row>
    <row r="9" spans="2:2" ht="26.5" thickBot="1" x14ac:dyDescent="0.45">
      <c r="B9" s="4" t="s">
        <v>685</v>
      </c>
    </row>
    <row r="10" spans="2:2" ht="26.5" thickBot="1" x14ac:dyDescent="0.45">
      <c r="B10" s="4" t="s">
        <v>686</v>
      </c>
    </row>
    <row r="11" spans="2:2" ht="26.5" thickBot="1" x14ac:dyDescent="0.45">
      <c r="B11" s="4" t="s">
        <v>687</v>
      </c>
    </row>
    <row r="12" spans="2:2" ht="26" x14ac:dyDescent="0.4">
      <c r="B12" s="5" t="s">
        <v>688</v>
      </c>
    </row>
    <row r="13" spans="2:2" ht="26" x14ac:dyDescent="0.4">
      <c r="B13" s="5" t="s">
        <v>689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Possíveis Fornec</vt:lpstr>
      <vt:lpstr>Prospecção de Geradores</vt:lpstr>
      <vt:lpstr>Gabs</vt:lpstr>
      <vt:lpstr>Mackenzie Detalhamentos</vt:lpstr>
      <vt:lpstr>CONSEG - Zeka</vt:lpstr>
      <vt:lpstr>Parceiros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Eduarda Gervazoni</dc:creator>
  <cp:keywords/>
  <dc:description/>
  <cp:lastModifiedBy>Rebeca Andrade Azevedo</cp:lastModifiedBy>
  <cp:revision/>
  <dcterms:created xsi:type="dcterms:W3CDTF">2026-06-30T19:10:55Z</dcterms:created>
  <dcterms:modified xsi:type="dcterms:W3CDTF">2026-08-15T01:24:49Z</dcterms:modified>
  <cp:category/>
  <cp:contentStatus/>
</cp:coreProperties>
</file>